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Parte 1 - Modelo Base" sheetId="2" state="visible" r:id="rId4"/>
    <sheet name="Parte 2 - Con RRHH" sheetId="3" state="visible" r:id="rId5"/>
    <sheet name="Comparación y Análisi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<sst xmlns="http://schemas.openxmlformats.org/spreadsheetml/2006/main" count="225" uniqueCount="114">
  <si>
    <t xml:space="preserve">TAREA COMPUTACIONAL 1 - OPTIMIZACIÓN</t>
  </si>
  <si>
    <t xml:space="preserve">Universidad Diego Portales | Escuela de Ingeniería Industrial</t>
  </si>
  <si>
    <t xml:space="preserve">Integrantes del grupo:</t>
  </si>
  <si>
    <t xml:space="preserve">   1. [Nombre completo] — [correo institucional]</t>
  </si>
  <si>
    <t xml:space="preserve">   2. [Nombre completo] — [correo institucional]</t>
  </si>
  <si>
    <t xml:space="preserve">   3. [Nombre completo] — [correo institucional]</t>
  </si>
  <si>
    <t xml:space="preserve">   4. [Nombre completo] — [correo institucional]</t>
  </si>
  <si>
    <t xml:space="preserve">   5. [Nombre completo] — [correo institucional]</t>
  </si>
  <si>
    <t xml:space="preserve">Instrucciones de uso de este archivo:</t>
  </si>
  <si>
    <t xml:space="preserve">1. Este libro contiene el modelo YA FORMULADO con fórmulas reales (no valores pegados), listo para resolver con Solver.</t>
  </si>
  <si>
    <t xml:space="preserve">2. Celdas AZULES sobre fondo blanco = parámetros/datos fijos de la pauta (no tocar).</t>
  </si>
  <si>
    <t xml:space="preserve">3. Celdas AZULES con fondo celeste = variables de decisión / celdas cambiantes de Solver (parten en 0).</t>
  </si>
  <si>
    <t xml:space="preserve">4. Celdas negras sobre fondo gris = fórmulas calculadas automáticamente (inventario, horas usadas, etc.).</t>
  </si>
  <si>
    <t xml:space="preserve">5. Celda verde = función objetivo (Beneficio Neto) que Solver debe maximizar.</t>
  </si>
  <si>
    <t xml:space="preserve">6. En cada hoja de Parte 1 y Parte 2, en la sección 5 encontrarás la configuración exacta a ingresar en Solver</t>
  </si>
  <si>
    <t xml:space="preserve">    (Datos &gt; Solver): celda objetivo, celdas cambiantes y restricciones con sus referencias.</t>
  </si>
  <si>
    <t xml:space="preserve">7. Recuerda: en el cuadro de Solver, marcar 'Convertir variables sin restricciones en no negativas' y</t>
  </si>
  <si>
    <t xml:space="preserve">    seleccionar el método de resolución 'Simplex LP'.</t>
  </si>
  <si>
    <t xml:space="preserve">8. Reemplaza los nombres de los integrantes del grupo arriba antes de entregar.</t>
  </si>
  <si>
    <t xml:space="preserve">TAREA COMPUTACIONAL 1 - OPTIMIZACIÓN | Parte 1: Modelo Productivo Base</t>
  </si>
  <si>
    <t xml:space="preserve">1. PARÁMETROS (celdas azules = datos fijos de la pauta)</t>
  </si>
  <si>
    <t xml:space="preserve">Mes 1</t>
  </si>
  <si>
    <t xml:space="preserve">Mes 2</t>
  </si>
  <si>
    <t xml:space="preserve">Mes 3</t>
  </si>
  <si>
    <t xml:space="preserve">Mes 4</t>
  </si>
  <si>
    <t xml:space="preserve">Mes 5</t>
  </si>
  <si>
    <t xml:space="preserve">Mes 6</t>
  </si>
  <si>
    <t xml:space="preserve">Mes 7</t>
  </si>
  <si>
    <t xml:space="preserve">Mes 8</t>
  </si>
  <si>
    <t xml:space="preserve">Mes 9</t>
  </si>
  <si>
    <t xml:space="preserve">Mes 10</t>
  </si>
  <si>
    <t xml:space="preserve">Mes 11</t>
  </si>
  <si>
    <t xml:space="preserve">Mes 12</t>
  </si>
  <si>
    <t xml:space="preserve">Total</t>
  </si>
  <si>
    <t xml:space="preserve">Demanda Máxima A (unid)</t>
  </si>
  <si>
    <t xml:space="preserve">Demanda Máxima B (unid)</t>
  </si>
  <si>
    <t xml:space="preserve">Utilidad Venta A ($/unid)</t>
  </si>
  <si>
    <t xml:space="preserve">Utilidad Venta B ($/unid)</t>
  </si>
  <si>
    <t xml:space="preserve">Horas Máquina A (hr/unid)</t>
  </si>
  <si>
    <t xml:space="preserve">Horas Máquina B (hr/unid)</t>
  </si>
  <si>
    <t xml:space="preserve">Capacidad Maquinaria (hr)</t>
  </si>
  <si>
    <t xml:space="preserve">Costo Inventario ($/unid)</t>
  </si>
  <si>
    <t xml:space="preserve">Inventario Seguridad (unid)</t>
  </si>
  <si>
    <t xml:space="preserve">Inventario Máximo Bodega (unid)</t>
  </si>
  <si>
    <t xml:space="preserve">Inventario Inicial A (t=0, unid)</t>
  </si>
  <si>
    <t xml:space="preserve">Inventario Inicial B (t=0, unid)</t>
  </si>
  <si>
    <t xml:space="preserve">2. VARIABLES DE DECISIÓN — CELDAS CAMBIANTES PARA SOLVER (celda azul y fondo celeste)</t>
  </si>
  <si>
    <t xml:space="preserve">Producción A (X_A,t)</t>
  </si>
  <si>
    <t xml:space="preserve">Producción B (X_B,t)</t>
  </si>
  <si>
    <t xml:space="preserve">Ventas A (V_A,t)</t>
  </si>
  <si>
    <t xml:space="preserve">Ventas B (V_B,t)</t>
  </si>
  <si>
    <t xml:space="preserve">3. VARIABLES CALCULADAS (fórmulas — NO son celdas cambiantes)</t>
  </si>
  <si>
    <t xml:space="preserve">Inventario Final A (I_A,t)</t>
  </si>
  <si>
    <t xml:space="preserve">—</t>
  </si>
  <si>
    <t xml:space="preserve">Inventario Final B (I_B,t)</t>
  </si>
  <si>
    <t xml:space="preserve">Inventario Total en Bodega (I_A+I_B)</t>
  </si>
  <si>
    <t xml:space="preserve">Horas Máquina Usadas (hr)</t>
  </si>
  <si>
    <t xml:space="preserve">Holgura Maquinaria (Cap. - Usadas)</t>
  </si>
  <si>
    <t xml:space="preserve">4. FUNCIÓN OBJETIVO Y RESULTADOS FINANCIEROS</t>
  </si>
  <si>
    <t xml:space="preserve">Ingresos Totales por Ventas ($)</t>
  </si>
  <si>
    <t xml:space="preserve">Costo Total de Inventario ($)</t>
  </si>
  <si>
    <t xml:space="preserve">BENEFICIO NETO ANUAL ($)  &lt;&lt;&lt; CELDA OBJETIVO SOLVER &gt;&gt;&gt;</t>
  </si>
  <si>
    <t xml:space="preserve">5. CONFIGURACIÓN DE SOLVER (Datos &gt; Solver)</t>
  </si>
  <si>
    <t xml:space="preserve">• Establecer el objetivo (Set Objective): $B$37  →  Máx</t>
  </si>
  <si>
    <t xml:space="preserve">• Cambiando las celdas de variables (By Changing Variable Cells):</t>
  </si>
  <si>
    <t xml:space="preserve">    $B$21:$M$21, $B$22:$M$22, $B$23:$M$23, $B$24:$M$24</t>
  </si>
  <si>
    <t xml:space="preserve">• Restricciones (Add):</t>
  </si>
  <si>
    <t xml:space="preserve">    $B$23:$M$23 &lt;= $B$5:$M$5     (no vender más que la demanda A)</t>
  </si>
  <si>
    <t xml:space="preserve">    $B$24:$M$24 &lt;= $B$6:$M$6     (no vender más que la demanda B)</t>
  </si>
  <si>
    <t xml:space="preserve">    $B$31:$M$31 &lt;= $B$11:$M$11   (capacidad de maquinaria)</t>
  </si>
  <si>
    <t xml:space="preserve">    $B$30:$M$30 &lt;= $B$14:$M$14     (capacidad máxima bodega)</t>
  </si>
  <si>
    <t xml:space="preserve">    $B$30:$M$30 &gt;= $B$13:$M$13     (inventario de seguridad)</t>
  </si>
  <si>
    <t xml:space="preserve">    $B$28:$M$28 &gt;= 0   y   $B$29:$M$29 &gt;= 0   (inventario no negativo por producto)</t>
  </si>
  <si>
    <t xml:space="preserve">    $B$21:$M$24 &gt;= 0   (marcar además 'Convertir variables sin restricciones en no negativas')</t>
  </si>
  <si>
    <t xml:space="preserve">• Método de resolución: Simplex LP</t>
  </si>
  <si>
    <t xml:space="preserve">• Presionar Resolver.</t>
  </si>
  <si>
    <t xml:space="preserve">TAREA COMPUTACIONAL 1 - OPTIMIZACIÓN | Parte 2: Modelo Integrado con Recursos Humanos</t>
  </si>
  <si>
    <t xml:space="preserve">Costo Horario Regular ($/hh)</t>
  </si>
  <si>
    <t xml:space="preserve">Costo Horas Extras ($/hh)</t>
  </si>
  <si>
    <t xml:space="preserve">Costo Contratación ($/hh)</t>
  </si>
  <si>
    <t xml:space="preserve">Costo Despido ($/hh)</t>
  </si>
  <si>
    <t xml:space="preserve">Dotación Inicial de Fuerza Laboral (hh, t=0)</t>
  </si>
  <si>
    <t xml:space="preserve">Requerimiento Mano de Obra (hh/unidad producida)</t>
  </si>
  <si>
    <t xml:space="preserve">Horas Contratadas (H_t)</t>
  </si>
  <si>
    <t xml:space="preserve">Horas Despedidas (F_t)</t>
  </si>
  <si>
    <t xml:space="preserve">Horas Extras Utilizadas (O_t)</t>
  </si>
  <si>
    <t xml:space="preserve">Dotación Disponible (W_t, hh)</t>
  </si>
  <si>
    <t xml:space="preserve">Requerimiento HH Producción (3·(X_A+X_B))</t>
  </si>
  <si>
    <t xml:space="preserve">Horas Disponibles (W_t + O_t)</t>
  </si>
  <si>
    <t xml:space="preserve">Costo Mano de Obra Regular ($)</t>
  </si>
  <si>
    <t xml:space="preserve">Costo Horas Extras ($)</t>
  </si>
  <si>
    <t xml:space="preserve">Costo Contratación ($)</t>
  </si>
  <si>
    <t xml:space="preserve">Costo Despido ($)</t>
  </si>
  <si>
    <t xml:space="preserve">BENEFICIO NETO TOTAL ($)  &lt;&lt;&lt; CELDA OBJETIVO SOLVER &gt;&gt;&gt;</t>
  </si>
  <si>
    <t xml:space="preserve">• Establecer el objetivo (Set Objective): $B$53  →  Máx</t>
  </si>
  <si>
    <t xml:space="preserve">    $B$27:$M$27, $B$28:$M$28, $B$29:$M$29, $B$30:$M$30,</t>
  </si>
  <si>
    <t xml:space="preserve">    $B$31:$M$31, $B$32:$M$32, $B$33:$M$33</t>
  </si>
  <si>
    <t xml:space="preserve">    $B$29:$M$29 &lt;= $B$5:$M$5</t>
  </si>
  <si>
    <t xml:space="preserve">    $B$30:$M$30 &lt;= $B$6:$M$6</t>
  </si>
  <si>
    <t xml:space="preserve">    $B$41:$M$41 &lt;= $B$11:$M$11</t>
  </si>
  <si>
    <t xml:space="preserve">    $B$39:$M$39 &lt;= $B$14:$M$14</t>
  </si>
  <si>
    <t xml:space="preserve">    $B$39:$M$39 &gt;= $B$13:$M$13</t>
  </si>
  <si>
    <t xml:space="preserve">    $B$43:$M$43 &lt;= $B$44:$M$44   (mano de obra: requerimiento &lt;= dotación + sobretiempo)</t>
  </si>
  <si>
    <t xml:space="preserve">    $B$37:$M$37 &gt;= 0   y   $B$38:$M$38 &gt;= 0</t>
  </si>
  <si>
    <t xml:space="preserve">    $B$40:$M$40 &gt;= 0   (dotación disponible no negativa)</t>
  </si>
  <si>
    <t xml:space="preserve">    $B$27:$M$33 &gt;= 0   (marcar además 'Convertir variables sin restricciones en no negativas')</t>
  </si>
  <si>
    <t xml:space="preserve">COMPARACIÓN DE ESCENARIOS (se actualiza automáticamente tras correr Solver en ambas hojas)</t>
  </si>
  <si>
    <t xml:space="preserve">Métrica</t>
  </si>
  <si>
    <t xml:space="preserve">Parte 1 (Base sin RRHH)</t>
  </si>
  <si>
    <t xml:space="preserve">Parte 2 (Con RRHH)</t>
  </si>
  <si>
    <t xml:space="preserve">Ingresos Totales ($)</t>
  </si>
  <si>
    <t xml:space="preserve">Costo Inventario ($)</t>
  </si>
  <si>
    <t xml:space="preserve">BENEFICIO NETO ($)</t>
  </si>
  <si>
    <t xml:space="preserve">Diferencia (Parte 1 - Parte 2) ($)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</si>
</sst>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\$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FFFFFF"/>
        <bgColor rgb="FFF2F2F2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C6E0B4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5" t="s">
        <v>9</v>
      </c>
    </row>
    <row r="13" customFormat="false" ht="15" hidden="false" customHeight="false" outlineLevel="0" collapsed="false">
      <c r="A13" s="5" t="s">
        <v>10</v>
      </c>
    </row>
    <row r="14" customFormat="false" ht="15" hidden="false" customHeight="false" outlineLevel="0" collapsed="false">
      <c r="A14" s="5" t="s">
        <v>11</v>
      </c>
    </row>
    <row r="15" customFormat="false" ht="15" hidden="false" customHeight="false" outlineLevel="0" collapsed="false">
      <c r="A15" s="5" t="s">
        <v>12</v>
      </c>
    </row>
    <row r="16" customFormat="false" ht="15" hidden="false" customHeight="false" outlineLevel="0" collapsed="false">
      <c r="A16" s="5" t="s">
        <v>13</v>
      </c>
    </row>
    <row r="17" customFormat="false" ht="15" hidden="false" customHeight="false" outlineLevel="0" collapsed="false">
      <c r="A17" s="5" t="s">
        <v>14</v>
      </c>
    </row>
    <row r="18" customFormat="false" ht="15" hidden="false" customHeight="false" outlineLevel="0" collapsed="false">
      <c r="A18" s="5" t="s">
        <v>15</v>
      </c>
    </row>
    <row r="19" customFormat="false" ht="15" hidden="false" customHeight="false" outlineLevel="0" collapsed="false">
      <c r="A19" s="5" t="s">
        <v>16</v>
      </c>
    </row>
    <row r="20" customFormat="false" ht="15" hidden="false" customHeight="false" outlineLevel="0" collapsed="false">
      <c r="A20" s="5" t="s">
        <v>17</v>
      </c>
    </row>
    <row r="21" customFormat="false" ht="15" hidden="false" customHeight="false" outlineLevel="0" collapsed="false">
      <c r="A21" s="5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4" min="2" style="0" width="10"/>
  </cols>
  <sheetData>
    <row r="1" customFormat="false" ht="17.35" hidden="false" customHeight="false" outlineLevel="0" collapsed="false">
      <c r="A1" s="6" t="s">
        <v>19</v>
      </c>
    </row>
    <row r="3" customFormat="false" ht="15" hidden="false" customHeight="false" outlineLevel="0" collapsed="false">
      <c r="A3" s="3" t="s">
        <v>20</v>
      </c>
    </row>
    <row r="4" customFormat="false" ht="15" hidden="false" customHeight="false" outlineLevel="0" collapsed="false">
      <c r="A4" s="7"/>
      <c r="B4" s="8" t="s">
        <v>21</v>
      </c>
      <c r="C4" s="8" t="s">
        <v>22</v>
      </c>
      <c r="D4" s="8" t="s">
        <v>23</v>
      </c>
      <c r="E4" s="8" t="s">
        <v>24</v>
      </c>
      <c r="F4" s="8" t="s">
        <v>25</v>
      </c>
      <c r="G4" s="8" t="s">
        <v>26</v>
      </c>
      <c r="H4" s="8" t="s">
        <v>27</v>
      </c>
      <c r="I4" s="8" t="s">
        <v>28</v>
      </c>
      <c r="J4" s="8" t="s">
        <v>29</v>
      </c>
      <c r="K4" s="8" t="s">
        <v>30</v>
      </c>
      <c r="L4" s="8" t="s">
        <v>31</v>
      </c>
      <c r="M4" s="8" t="s">
        <v>32</v>
      </c>
      <c r="N4" s="8" t="s">
        <v>33</v>
      </c>
    </row>
    <row r="5" customFormat="false" ht="15" hidden="false" customHeight="false" outlineLevel="0" collapsed="false">
      <c r="A5" s="7" t="s">
        <v>34</v>
      </c>
      <c r="B5" s="9" t="n">
        <v>73</v>
      </c>
      <c r="C5" s="9" t="n">
        <v>60</v>
      </c>
      <c r="D5" s="9" t="n">
        <v>48</v>
      </c>
      <c r="E5" s="9" t="n">
        <v>66</v>
      </c>
      <c r="F5" s="9" t="n">
        <v>63</v>
      </c>
      <c r="G5" s="9" t="n">
        <v>48</v>
      </c>
      <c r="H5" s="9" t="n">
        <v>57</v>
      </c>
      <c r="I5" s="9" t="n">
        <v>68</v>
      </c>
      <c r="J5" s="9" t="n">
        <v>52</v>
      </c>
      <c r="K5" s="9" t="n">
        <v>76</v>
      </c>
      <c r="L5" s="9" t="n">
        <v>67</v>
      </c>
      <c r="M5" s="9" t="n">
        <v>76</v>
      </c>
    </row>
    <row r="6" customFormat="false" ht="15" hidden="false" customHeight="false" outlineLevel="0" collapsed="false">
      <c r="A6" s="7" t="s">
        <v>35</v>
      </c>
      <c r="B6" s="9" t="n">
        <v>63</v>
      </c>
      <c r="C6" s="9" t="n">
        <v>72</v>
      </c>
      <c r="D6" s="9" t="n">
        <v>57</v>
      </c>
      <c r="E6" s="9" t="n">
        <v>67</v>
      </c>
      <c r="F6" s="9" t="n">
        <v>44</v>
      </c>
      <c r="G6" s="9" t="n">
        <v>59</v>
      </c>
      <c r="H6" s="9" t="n">
        <v>48</v>
      </c>
      <c r="I6" s="9" t="n">
        <v>64</v>
      </c>
      <c r="J6" s="9" t="n">
        <v>40</v>
      </c>
      <c r="K6" s="9" t="n">
        <v>63</v>
      </c>
      <c r="L6" s="9" t="n">
        <v>64</v>
      </c>
      <c r="M6" s="9" t="n">
        <v>77</v>
      </c>
    </row>
    <row r="7" customFormat="false" ht="15" hidden="false" customHeight="false" outlineLevel="0" collapsed="false">
      <c r="A7" s="7" t="s">
        <v>36</v>
      </c>
      <c r="B7" s="9" t="n">
        <v>8</v>
      </c>
      <c r="C7" s="9" t="n">
        <v>22</v>
      </c>
      <c r="D7" s="9" t="n">
        <v>6</v>
      </c>
      <c r="E7" s="9" t="n">
        <v>32</v>
      </c>
      <c r="F7" s="9" t="n">
        <v>28</v>
      </c>
      <c r="G7" s="9" t="n">
        <v>14</v>
      </c>
      <c r="H7" s="9" t="n">
        <v>20</v>
      </c>
      <c r="I7" s="9" t="n">
        <v>36</v>
      </c>
      <c r="J7" s="9" t="n">
        <v>10</v>
      </c>
      <c r="K7" s="9" t="n">
        <v>6</v>
      </c>
      <c r="L7" s="9" t="n">
        <v>40</v>
      </c>
      <c r="M7" s="9" t="n">
        <v>22</v>
      </c>
    </row>
    <row r="8" customFormat="false" ht="15" hidden="false" customHeight="false" outlineLevel="0" collapsed="false">
      <c r="A8" s="7" t="s">
        <v>37</v>
      </c>
      <c r="B8" s="9" t="n">
        <v>20</v>
      </c>
      <c r="C8" s="9" t="n">
        <v>16</v>
      </c>
      <c r="D8" s="9" t="n">
        <v>20</v>
      </c>
      <c r="E8" s="9" t="n">
        <v>6</v>
      </c>
      <c r="F8" s="9" t="n">
        <v>20</v>
      </c>
      <c r="G8" s="9" t="n">
        <v>29</v>
      </c>
      <c r="H8" s="9" t="n">
        <v>8</v>
      </c>
      <c r="I8" s="9" t="n">
        <v>30</v>
      </c>
      <c r="J8" s="9" t="n">
        <v>6</v>
      </c>
      <c r="K8" s="9" t="n">
        <v>8</v>
      </c>
      <c r="L8" s="9" t="n">
        <v>6</v>
      </c>
      <c r="M8" s="9" t="n">
        <v>28</v>
      </c>
    </row>
    <row r="9" customFormat="false" ht="15" hidden="false" customHeight="false" outlineLevel="0" collapsed="false">
      <c r="A9" s="7" t="s">
        <v>38</v>
      </c>
      <c r="B9" s="9" t="n">
        <v>0.1</v>
      </c>
      <c r="C9" s="9" t="n">
        <v>2</v>
      </c>
      <c r="D9" s="9" t="n">
        <v>0.9</v>
      </c>
      <c r="E9" s="9" t="n">
        <v>1.2</v>
      </c>
      <c r="F9" s="9" t="n">
        <v>1.8</v>
      </c>
      <c r="G9" s="9" t="n">
        <v>0.7</v>
      </c>
      <c r="H9" s="9" t="n">
        <v>0.8</v>
      </c>
      <c r="I9" s="9" t="n">
        <v>0.4</v>
      </c>
      <c r="J9" s="9" t="n">
        <v>1.5</v>
      </c>
      <c r="K9" s="9" t="n">
        <v>2.1</v>
      </c>
      <c r="L9" s="9" t="n">
        <v>1.9</v>
      </c>
      <c r="M9" s="9" t="n">
        <v>1.5</v>
      </c>
    </row>
    <row r="10" customFormat="false" ht="15" hidden="false" customHeight="false" outlineLevel="0" collapsed="false">
      <c r="A10" s="7" t="s">
        <v>39</v>
      </c>
      <c r="B10" s="9" t="n">
        <v>0.2</v>
      </c>
      <c r="C10" s="9" t="n">
        <v>1.9</v>
      </c>
      <c r="D10" s="9" t="n">
        <v>0.7</v>
      </c>
      <c r="E10" s="9" t="n">
        <v>1.7</v>
      </c>
      <c r="F10" s="9" t="n">
        <v>0.8</v>
      </c>
      <c r="G10" s="9" t="n">
        <v>1.6</v>
      </c>
      <c r="H10" s="9" t="n">
        <v>1</v>
      </c>
      <c r="I10" s="9" t="n">
        <v>0.6</v>
      </c>
      <c r="J10" s="9" t="n">
        <v>1.5</v>
      </c>
      <c r="K10" s="9" t="n">
        <v>0.3</v>
      </c>
      <c r="L10" s="9" t="n">
        <v>2</v>
      </c>
      <c r="M10" s="9" t="n">
        <v>1.4</v>
      </c>
    </row>
    <row r="11" customFormat="false" ht="15" hidden="false" customHeight="false" outlineLevel="0" collapsed="false">
      <c r="A11" s="7" t="s">
        <v>40</v>
      </c>
      <c r="B11" s="9" t="n">
        <v>180</v>
      </c>
      <c r="C11" s="9" t="n">
        <v>180</v>
      </c>
      <c r="D11" s="9" t="n">
        <v>160</v>
      </c>
      <c r="E11" s="9" t="n">
        <v>190</v>
      </c>
      <c r="F11" s="9" t="n">
        <v>130</v>
      </c>
      <c r="G11" s="9" t="n">
        <v>160</v>
      </c>
      <c r="H11" s="9" t="n">
        <v>160</v>
      </c>
      <c r="I11" s="9" t="n">
        <v>130</v>
      </c>
      <c r="J11" s="9" t="n">
        <v>140</v>
      </c>
      <c r="K11" s="9" t="n">
        <v>150</v>
      </c>
      <c r="L11" s="9" t="n">
        <v>150</v>
      </c>
      <c r="M11" s="9" t="n">
        <v>150</v>
      </c>
    </row>
    <row r="12" customFormat="false" ht="15" hidden="false" customHeight="false" outlineLevel="0" collapsed="false">
      <c r="A12" s="7" t="s">
        <v>41</v>
      </c>
      <c r="B12" s="9" t="n">
        <v>3</v>
      </c>
      <c r="C12" s="9" t="n">
        <v>5</v>
      </c>
      <c r="D12" s="9" t="n">
        <v>2</v>
      </c>
      <c r="E12" s="9" t="n">
        <v>4</v>
      </c>
      <c r="F12" s="9" t="n">
        <v>2</v>
      </c>
      <c r="G12" s="9" t="n">
        <v>4</v>
      </c>
      <c r="H12" s="9" t="n">
        <v>2</v>
      </c>
      <c r="I12" s="9" t="n">
        <v>6</v>
      </c>
      <c r="J12" s="9" t="n">
        <v>2</v>
      </c>
      <c r="K12" s="9" t="n">
        <v>2</v>
      </c>
      <c r="L12" s="9" t="n">
        <v>4</v>
      </c>
      <c r="M12" s="9" t="n">
        <v>2</v>
      </c>
    </row>
    <row r="13" customFormat="false" ht="15" hidden="false" customHeight="false" outlineLevel="0" collapsed="false">
      <c r="A13" s="7" t="s">
        <v>42</v>
      </c>
      <c r="B13" s="9" t="n">
        <v>6</v>
      </c>
      <c r="C13" s="9" t="n">
        <v>7</v>
      </c>
      <c r="D13" s="9" t="n">
        <v>10</v>
      </c>
      <c r="E13" s="9" t="n">
        <v>5</v>
      </c>
      <c r="F13" s="9" t="n">
        <v>10</v>
      </c>
      <c r="G13" s="9" t="n">
        <v>7</v>
      </c>
      <c r="H13" s="9" t="n">
        <v>7</v>
      </c>
      <c r="I13" s="9" t="n">
        <v>10</v>
      </c>
      <c r="J13" s="9" t="n">
        <v>5</v>
      </c>
      <c r="K13" s="9" t="n">
        <v>7</v>
      </c>
      <c r="L13" s="9" t="n">
        <v>9</v>
      </c>
      <c r="M13" s="9" t="n">
        <v>8</v>
      </c>
    </row>
    <row r="14" customFormat="false" ht="15" hidden="false" customHeight="false" outlineLevel="0" collapsed="false">
      <c r="A14" s="7" t="s">
        <v>43</v>
      </c>
      <c r="B14" s="9" t="n">
        <v>30</v>
      </c>
      <c r="C14" s="9" t="n">
        <v>30</v>
      </c>
      <c r="D14" s="9" t="n">
        <v>27</v>
      </c>
      <c r="E14" s="9" t="n">
        <v>24</v>
      </c>
      <c r="F14" s="9" t="n">
        <v>25</v>
      </c>
      <c r="G14" s="9" t="n">
        <v>21</v>
      </c>
      <c r="H14" s="9" t="n">
        <v>21</v>
      </c>
      <c r="I14" s="9" t="n">
        <v>25</v>
      </c>
      <c r="J14" s="9" t="n">
        <v>22</v>
      </c>
      <c r="K14" s="9" t="n">
        <v>25</v>
      </c>
      <c r="L14" s="9" t="n">
        <v>22</v>
      </c>
      <c r="M14" s="9" t="n">
        <v>30</v>
      </c>
    </row>
    <row r="16" customFormat="false" ht="15" hidden="false" customHeight="false" outlineLevel="0" collapsed="false">
      <c r="A16" s="7" t="s">
        <v>44</v>
      </c>
      <c r="B16" s="10" t="n">
        <v>10</v>
      </c>
    </row>
    <row r="17" customFormat="false" ht="15" hidden="false" customHeight="false" outlineLevel="0" collapsed="false">
      <c r="A17" s="7" t="s">
        <v>45</v>
      </c>
      <c r="B17" s="10" t="n">
        <v>10</v>
      </c>
    </row>
    <row r="19" customFormat="false" ht="15" hidden="false" customHeight="false" outlineLevel="0" collapsed="false">
      <c r="A19" s="3" t="s">
        <v>46</v>
      </c>
    </row>
    <row r="20" customFormat="false" ht="15" hidden="false" customHeight="false" outlineLevel="0" collapsed="false">
      <c r="A20" s="7"/>
      <c r="B20" s="8" t="s">
        <v>21</v>
      </c>
      <c r="C20" s="8" t="s">
        <v>22</v>
      </c>
      <c r="D20" s="8" t="s">
        <v>23</v>
      </c>
      <c r="E20" s="8" t="s">
        <v>24</v>
      </c>
      <c r="F20" s="8" t="s">
        <v>25</v>
      </c>
      <c r="G20" s="8" t="s">
        <v>26</v>
      </c>
      <c r="H20" s="8" t="s">
        <v>27</v>
      </c>
      <c r="I20" s="8" t="s">
        <v>28</v>
      </c>
      <c r="J20" s="8" t="s">
        <v>29</v>
      </c>
      <c r="K20" s="8" t="s">
        <v>30</v>
      </c>
      <c r="L20" s="8" t="s">
        <v>31</v>
      </c>
      <c r="M20" s="8" t="s">
        <v>32</v>
      </c>
      <c r="N20" s="8" t="s">
        <v>33</v>
      </c>
    </row>
    <row r="21" customFormat="false" ht="15" hidden="false" customHeight="false" outlineLevel="0" collapsed="false">
      <c r="A21" s="11" t="s">
        <v>47</v>
      </c>
      <c r="B21" s="12" t="n">
        <v>0</v>
      </c>
      <c r="C21" s="12" t="n">
        <v>0</v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3" t="n">
        <f aca="false">SUM(B21:M21)</f>
        <v>0</v>
      </c>
    </row>
    <row r="22" customFormat="false" ht="15" hidden="false" customHeight="false" outlineLevel="0" collapsed="false">
      <c r="A22" s="11" t="s">
        <v>48</v>
      </c>
      <c r="B22" s="12" t="n">
        <v>0</v>
      </c>
      <c r="C22" s="12" t="n">
        <v>0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3" t="n">
        <f aca="false">SUM(B22:M22)</f>
        <v>0</v>
      </c>
    </row>
    <row r="23" customFormat="false" ht="15" hidden="false" customHeight="false" outlineLevel="0" collapsed="false">
      <c r="A23" s="11" t="s">
        <v>49</v>
      </c>
      <c r="B23" s="12" t="n">
        <v>0</v>
      </c>
      <c r="C23" s="12" t="n">
        <v>0</v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3" t="n">
        <f aca="false">SUM(B23:M23)</f>
        <v>0</v>
      </c>
    </row>
    <row r="24" customFormat="false" ht="15" hidden="false" customHeight="false" outlineLevel="0" collapsed="false">
      <c r="A24" s="11" t="s">
        <v>50</v>
      </c>
      <c r="B24" s="12" t="n">
        <v>0</v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3" t="n">
        <f aca="false">SUM(B24:M24)</f>
        <v>0</v>
      </c>
    </row>
    <row r="26" customFormat="false" ht="15" hidden="false" customHeight="false" outlineLevel="0" collapsed="false">
      <c r="A26" s="3" t="s">
        <v>51</v>
      </c>
    </row>
    <row r="27" customFormat="false" ht="15" hidden="false" customHeight="false" outlineLevel="0" collapsed="false">
      <c r="A27" s="7"/>
      <c r="B27" s="8" t="s">
        <v>21</v>
      </c>
      <c r="C27" s="8" t="s">
        <v>22</v>
      </c>
      <c r="D27" s="8" t="s">
        <v>23</v>
      </c>
      <c r="E27" s="8" t="s">
        <v>24</v>
      </c>
      <c r="F27" s="8" t="s">
        <v>25</v>
      </c>
      <c r="G27" s="8" t="s">
        <v>26</v>
      </c>
      <c r="H27" s="8" t="s">
        <v>27</v>
      </c>
      <c r="I27" s="8" t="s">
        <v>28</v>
      </c>
      <c r="J27" s="8" t="s">
        <v>29</v>
      </c>
      <c r="K27" s="8" t="s">
        <v>30</v>
      </c>
      <c r="L27" s="8" t="s">
        <v>31</v>
      </c>
      <c r="M27" s="8" t="s">
        <v>32</v>
      </c>
      <c r="N27" s="8" t="s">
        <v>33</v>
      </c>
    </row>
    <row r="28" customFormat="false" ht="15" hidden="false" customHeight="false" outlineLevel="0" collapsed="false">
      <c r="A28" s="7" t="s">
        <v>52</v>
      </c>
      <c r="B28" s="14" t="n">
        <f aca="false">$B$16+B21-B23</f>
        <v>10</v>
      </c>
      <c r="C28" s="14" t="n">
        <f aca="false">B28+C21-C23</f>
        <v>10</v>
      </c>
      <c r="D28" s="14" t="n">
        <f aca="false">C28+D21-D23</f>
        <v>10</v>
      </c>
      <c r="E28" s="14" t="n">
        <f aca="false">D28+E21-E23</f>
        <v>10</v>
      </c>
      <c r="F28" s="14" t="n">
        <f aca="false">E28+F21-F23</f>
        <v>10</v>
      </c>
      <c r="G28" s="14" t="n">
        <f aca="false">F28+G21-G23</f>
        <v>10</v>
      </c>
      <c r="H28" s="14" t="n">
        <f aca="false">G28+H21-H23</f>
        <v>10</v>
      </c>
      <c r="I28" s="14" t="n">
        <f aca="false">H28+I21-I23</f>
        <v>10</v>
      </c>
      <c r="J28" s="14" t="n">
        <f aca="false">I28+J21-J23</f>
        <v>10</v>
      </c>
      <c r="K28" s="14" t="n">
        <f aca="false">J28+K21-K23</f>
        <v>10</v>
      </c>
      <c r="L28" s="14" t="n">
        <f aca="false">K28+L21-L23</f>
        <v>10</v>
      </c>
      <c r="M28" s="14" t="n">
        <f aca="false">L28+M21-M23</f>
        <v>10</v>
      </c>
      <c r="N28" s="7" t="s">
        <v>53</v>
      </c>
    </row>
    <row r="29" customFormat="false" ht="15" hidden="false" customHeight="false" outlineLevel="0" collapsed="false">
      <c r="A29" s="7" t="s">
        <v>54</v>
      </c>
      <c r="B29" s="14" t="n">
        <f aca="false">$B$17+B22-B24</f>
        <v>10</v>
      </c>
      <c r="C29" s="14" t="n">
        <f aca="false">B29+C22-C24</f>
        <v>10</v>
      </c>
      <c r="D29" s="14" t="n">
        <f aca="false">C29+D22-D24</f>
        <v>10</v>
      </c>
      <c r="E29" s="14" t="n">
        <f aca="false">D29+E22-E24</f>
        <v>10</v>
      </c>
      <c r="F29" s="14" t="n">
        <f aca="false">E29+F22-F24</f>
        <v>10</v>
      </c>
      <c r="G29" s="14" t="n">
        <f aca="false">F29+G22-G24</f>
        <v>10</v>
      </c>
      <c r="H29" s="14" t="n">
        <f aca="false">G29+H22-H24</f>
        <v>10</v>
      </c>
      <c r="I29" s="14" t="n">
        <f aca="false">H29+I22-I24</f>
        <v>10</v>
      </c>
      <c r="J29" s="14" t="n">
        <f aca="false">I29+J22-J24</f>
        <v>10</v>
      </c>
      <c r="K29" s="14" t="n">
        <f aca="false">J29+K22-K24</f>
        <v>10</v>
      </c>
      <c r="L29" s="14" t="n">
        <f aca="false">K29+L22-L24</f>
        <v>10</v>
      </c>
      <c r="M29" s="14" t="n">
        <f aca="false">L29+M22-M24</f>
        <v>10</v>
      </c>
      <c r="N29" s="7" t="s">
        <v>53</v>
      </c>
    </row>
    <row r="30" customFormat="false" ht="15" hidden="false" customHeight="false" outlineLevel="0" collapsed="false">
      <c r="A30" s="7" t="s">
        <v>55</v>
      </c>
      <c r="B30" s="14" t="n">
        <f aca="false">B28+B29</f>
        <v>20</v>
      </c>
      <c r="C30" s="14" t="n">
        <f aca="false">C28+C29</f>
        <v>20</v>
      </c>
      <c r="D30" s="14" t="n">
        <f aca="false">D28+D29</f>
        <v>20</v>
      </c>
      <c r="E30" s="14" t="n">
        <f aca="false">E28+E29</f>
        <v>20</v>
      </c>
      <c r="F30" s="14" t="n">
        <f aca="false">F28+F29</f>
        <v>20</v>
      </c>
      <c r="G30" s="14" t="n">
        <f aca="false">G28+G29</f>
        <v>20</v>
      </c>
      <c r="H30" s="14" t="n">
        <f aca="false">H28+H29</f>
        <v>20</v>
      </c>
      <c r="I30" s="14" t="n">
        <f aca="false">I28+I29</f>
        <v>20</v>
      </c>
      <c r="J30" s="14" t="n">
        <f aca="false">J28+J29</f>
        <v>20</v>
      </c>
      <c r="K30" s="14" t="n">
        <f aca="false">K28+K29</f>
        <v>20</v>
      </c>
      <c r="L30" s="14" t="n">
        <f aca="false">L28+L29</f>
        <v>20</v>
      </c>
      <c r="M30" s="14" t="n">
        <f aca="false">M28+M29</f>
        <v>20</v>
      </c>
      <c r="N30" s="7" t="s">
        <v>53</v>
      </c>
    </row>
    <row r="31" customFormat="false" ht="15" hidden="false" customHeight="false" outlineLevel="0" collapsed="false">
      <c r="A31" s="7" t="s">
        <v>56</v>
      </c>
      <c r="B31" s="14" t="n">
        <f aca="false">B9*B21+B10*B22</f>
        <v>0</v>
      </c>
      <c r="C31" s="14" t="n">
        <f aca="false">C9*C21+C10*C22</f>
        <v>0</v>
      </c>
      <c r="D31" s="14" t="n">
        <f aca="false">D9*D21+D10*D22</f>
        <v>0</v>
      </c>
      <c r="E31" s="14" t="n">
        <f aca="false">E9*E21+E10*E22</f>
        <v>0</v>
      </c>
      <c r="F31" s="14" t="n">
        <f aca="false">F9*F21+F10*F22</f>
        <v>0</v>
      </c>
      <c r="G31" s="14" t="n">
        <f aca="false">G9*G21+G10*G22</f>
        <v>0</v>
      </c>
      <c r="H31" s="14" t="n">
        <f aca="false">H9*H21+H10*H22</f>
        <v>0</v>
      </c>
      <c r="I31" s="14" t="n">
        <f aca="false">I9*I21+I10*I22</f>
        <v>0</v>
      </c>
      <c r="J31" s="14" t="n">
        <f aca="false">J9*J21+J10*J22</f>
        <v>0</v>
      </c>
      <c r="K31" s="14" t="n">
        <f aca="false">K9*K21+K10*K22</f>
        <v>0</v>
      </c>
      <c r="L31" s="14" t="n">
        <f aca="false">L9*L21+L10*L22</f>
        <v>0</v>
      </c>
      <c r="M31" s="14" t="n">
        <f aca="false">M9*M21+M10*M22</f>
        <v>0</v>
      </c>
      <c r="N31" s="11" t="n">
        <f aca="false">SUM(B31:M31)</f>
        <v>0</v>
      </c>
    </row>
    <row r="32" customFormat="false" ht="15" hidden="false" customHeight="false" outlineLevel="0" collapsed="false">
      <c r="A32" s="7" t="s">
        <v>57</v>
      </c>
      <c r="B32" s="14" t="n">
        <f aca="false">B11-B31</f>
        <v>180</v>
      </c>
      <c r="C32" s="14" t="n">
        <f aca="false">C11-C31</f>
        <v>180</v>
      </c>
      <c r="D32" s="14" t="n">
        <f aca="false">D11-D31</f>
        <v>160</v>
      </c>
      <c r="E32" s="14" t="n">
        <f aca="false">E11-E31</f>
        <v>190</v>
      </c>
      <c r="F32" s="14" t="n">
        <f aca="false">F11-F31</f>
        <v>130</v>
      </c>
      <c r="G32" s="14" t="n">
        <f aca="false">G11-G31</f>
        <v>160</v>
      </c>
      <c r="H32" s="14" t="n">
        <f aca="false">H11-H31</f>
        <v>160</v>
      </c>
      <c r="I32" s="14" t="n">
        <f aca="false">I11-I31</f>
        <v>130</v>
      </c>
      <c r="J32" s="14" t="n">
        <f aca="false">J11-J31</f>
        <v>140</v>
      </c>
      <c r="K32" s="14" t="n">
        <f aca="false">K11-K31</f>
        <v>150</v>
      </c>
      <c r="L32" s="14" t="n">
        <f aca="false">L11-L31</f>
        <v>150</v>
      </c>
      <c r="M32" s="14" t="n">
        <f aca="false">M11-M31</f>
        <v>150</v>
      </c>
      <c r="N32" s="7" t="s">
        <v>53</v>
      </c>
    </row>
    <row r="34" customFormat="false" ht="15" hidden="false" customHeight="false" outlineLevel="0" collapsed="false">
      <c r="A34" s="3" t="s">
        <v>58</v>
      </c>
    </row>
    <row r="35" customFormat="false" ht="15" hidden="false" customHeight="false" outlineLevel="0" collapsed="false">
      <c r="A35" s="7" t="s">
        <v>59</v>
      </c>
      <c r="B35" s="15" t="n">
        <f aca="false">SUMPRODUCT(B7:M7,B23:M23)+SUMPRODUCT(B8:M8,B24:M24)</f>
        <v>0</v>
      </c>
    </row>
    <row r="36" customFormat="false" ht="15" hidden="false" customHeight="false" outlineLevel="0" collapsed="false">
      <c r="A36" s="7" t="s">
        <v>60</v>
      </c>
      <c r="B36" s="15" t="n">
        <f aca="false">SUMPRODUCT(B12:M12,B30:M30)</f>
        <v>760</v>
      </c>
    </row>
    <row r="37" customFormat="false" ht="15" hidden="false" customHeight="false" outlineLevel="0" collapsed="false">
      <c r="A37" s="11" t="s">
        <v>61</v>
      </c>
      <c r="B37" s="16" t="n">
        <f aca="false">B35-B36</f>
        <v>-760</v>
      </c>
    </row>
    <row r="39" customFormat="false" ht="15" hidden="false" customHeight="false" outlineLevel="0" collapsed="false">
      <c r="A39" s="3" t="s">
        <v>62</v>
      </c>
    </row>
    <row r="40" customFormat="false" ht="15" hidden="false" customHeight="false" outlineLevel="0" collapsed="false">
      <c r="A40" s="17" t="s">
        <v>63</v>
      </c>
    </row>
    <row r="41" customFormat="false" ht="15" hidden="false" customHeight="false" outlineLevel="0" collapsed="false">
      <c r="A41" s="17" t="s">
        <v>64</v>
      </c>
    </row>
    <row r="42" customFormat="false" ht="15" hidden="false" customHeight="false" outlineLevel="0" collapsed="false">
      <c r="A42" s="17" t="s">
        <v>65</v>
      </c>
    </row>
    <row r="43" customFormat="false" ht="15" hidden="false" customHeight="false" outlineLevel="0" collapsed="false">
      <c r="A43" s="17" t="s">
        <v>66</v>
      </c>
    </row>
    <row r="44" customFormat="false" ht="15" hidden="false" customHeight="false" outlineLevel="0" collapsed="false">
      <c r="A44" s="17" t="s">
        <v>67</v>
      </c>
    </row>
    <row r="45" customFormat="false" ht="15" hidden="false" customHeight="false" outlineLevel="0" collapsed="false">
      <c r="A45" s="17" t="s">
        <v>68</v>
      </c>
    </row>
    <row r="46" customFormat="false" ht="15" hidden="false" customHeight="false" outlineLevel="0" collapsed="false">
      <c r="A46" s="17" t="s">
        <v>69</v>
      </c>
    </row>
    <row r="47" customFormat="false" ht="15" hidden="false" customHeight="false" outlineLevel="0" collapsed="false">
      <c r="A47" s="17" t="s">
        <v>70</v>
      </c>
    </row>
    <row r="48" customFormat="false" ht="15" hidden="false" customHeight="false" outlineLevel="0" collapsed="false">
      <c r="A48" s="17" t="s">
        <v>71</v>
      </c>
    </row>
    <row r="49" customFormat="false" ht="15" hidden="false" customHeight="false" outlineLevel="0" collapsed="false">
      <c r="A49" s="17" t="s">
        <v>72</v>
      </c>
    </row>
    <row r="50" customFormat="false" ht="15" hidden="false" customHeight="false" outlineLevel="0" collapsed="false">
      <c r="A50" s="17" t="s">
        <v>73</v>
      </c>
    </row>
    <row r="51" customFormat="false" ht="15" hidden="false" customHeight="false" outlineLevel="0" collapsed="false">
      <c r="A51" s="17" t="s">
        <v>74</v>
      </c>
    </row>
    <row r="52" customFormat="false" ht="15" hidden="false" customHeight="false" outlineLevel="0" collapsed="false">
      <c r="A52" s="17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4" min="2" style="0" width="10"/>
  </cols>
  <sheetData>
    <row r="1" customFormat="false" ht="17.35" hidden="false" customHeight="false" outlineLevel="0" collapsed="false">
      <c r="A1" s="6" t="s">
        <v>76</v>
      </c>
    </row>
    <row r="3" customFormat="false" ht="15" hidden="false" customHeight="false" outlineLevel="0" collapsed="false">
      <c r="A3" s="3" t="s">
        <v>20</v>
      </c>
    </row>
    <row r="4" customFormat="false" ht="15" hidden="false" customHeight="false" outlineLevel="0" collapsed="false">
      <c r="A4" s="7"/>
      <c r="B4" s="8" t="s">
        <v>21</v>
      </c>
      <c r="C4" s="8" t="s">
        <v>22</v>
      </c>
      <c r="D4" s="8" t="s">
        <v>23</v>
      </c>
      <c r="E4" s="8" t="s">
        <v>24</v>
      </c>
      <c r="F4" s="8" t="s">
        <v>25</v>
      </c>
      <c r="G4" s="8" t="s">
        <v>26</v>
      </c>
      <c r="H4" s="8" t="s">
        <v>27</v>
      </c>
      <c r="I4" s="8" t="s">
        <v>28</v>
      </c>
      <c r="J4" s="8" t="s">
        <v>29</v>
      </c>
      <c r="K4" s="8" t="s">
        <v>30</v>
      </c>
      <c r="L4" s="8" t="s">
        <v>31</v>
      </c>
      <c r="M4" s="8" t="s">
        <v>32</v>
      </c>
      <c r="N4" s="8" t="s">
        <v>33</v>
      </c>
    </row>
    <row r="5" customFormat="false" ht="15" hidden="false" customHeight="false" outlineLevel="0" collapsed="false">
      <c r="A5" s="7" t="s">
        <v>34</v>
      </c>
      <c r="B5" s="9" t="n">
        <v>73</v>
      </c>
      <c r="C5" s="9" t="n">
        <v>60</v>
      </c>
      <c r="D5" s="9" t="n">
        <v>48</v>
      </c>
      <c r="E5" s="9" t="n">
        <v>66</v>
      </c>
      <c r="F5" s="9" t="n">
        <v>63</v>
      </c>
      <c r="G5" s="9" t="n">
        <v>48</v>
      </c>
      <c r="H5" s="9" t="n">
        <v>57</v>
      </c>
      <c r="I5" s="9" t="n">
        <v>68</v>
      </c>
      <c r="J5" s="9" t="n">
        <v>52</v>
      </c>
      <c r="K5" s="9" t="n">
        <v>76</v>
      </c>
      <c r="L5" s="9" t="n">
        <v>67</v>
      </c>
      <c r="M5" s="9" t="n">
        <v>76</v>
      </c>
    </row>
    <row r="6" customFormat="false" ht="15" hidden="false" customHeight="false" outlineLevel="0" collapsed="false">
      <c r="A6" s="7" t="s">
        <v>35</v>
      </c>
      <c r="B6" s="9" t="n">
        <v>63</v>
      </c>
      <c r="C6" s="9" t="n">
        <v>72</v>
      </c>
      <c r="D6" s="9" t="n">
        <v>57</v>
      </c>
      <c r="E6" s="9" t="n">
        <v>67</v>
      </c>
      <c r="F6" s="9" t="n">
        <v>44</v>
      </c>
      <c r="G6" s="9" t="n">
        <v>59</v>
      </c>
      <c r="H6" s="9" t="n">
        <v>48</v>
      </c>
      <c r="I6" s="9" t="n">
        <v>64</v>
      </c>
      <c r="J6" s="9" t="n">
        <v>40</v>
      </c>
      <c r="K6" s="9" t="n">
        <v>63</v>
      </c>
      <c r="L6" s="9" t="n">
        <v>64</v>
      </c>
      <c r="M6" s="9" t="n">
        <v>77</v>
      </c>
    </row>
    <row r="7" customFormat="false" ht="15" hidden="false" customHeight="false" outlineLevel="0" collapsed="false">
      <c r="A7" s="7" t="s">
        <v>36</v>
      </c>
      <c r="B7" s="9" t="n">
        <v>8</v>
      </c>
      <c r="C7" s="9" t="n">
        <v>22</v>
      </c>
      <c r="D7" s="9" t="n">
        <v>6</v>
      </c>
      <c r="E7" s="9" t="n">
        <v>32</v>
      </c>
      <c r="F7" s="9" t="n">
        <v>28</v>
      </c>
      <c r="G7" s="9" t="n">
        <v>14</v>
      </c>
      <c r="H7" s="9" t="n">
        <v>20</v>
      </c>
      <c r="I7" s="9" t="n">
        <v>36</v>
      </c>
      <c r="J7" s="9" t="n">
        <v>10</v>
      </c>
      <c r="K7" s="9" t="n">
        <v>6</v>
      </c>
      <c r="L7" s="9" t="n">
        <v>40</v>
      </c>
      <c r="M7" s="9" t="n">
        <v>22</v>
      </c>
    </row>
    <row r="8" customFormat="false" ht="15" hidden="false" customHeight="false" outlineLevel="0" collapsed="false">
      <c r="A8" s="7" t="s">
        <v>37</v>
      </c>
      <c r="B8" s="9" t="n">
        <v>20</v>
      </c>
      <c r="C8" s="9" t="n">
        <v>16</v>
      </c>
      <c r="D8" s="9" t="n">
        <v>20</v>
      </c>
      <c r="E8" s="9" t="n">
        <v>6</v>
      </c>
      <c r="F8" s="9" t="n">
        <v>20</v>
      </c>
      <c r="G8" s="9" t="n">
        <v>29</v>
      </c>
      <c r="H8" s="9" t="n">
        <v>8</v>
      </c>
      <c r="I8" s="9" t="n">
        <v>30</v>
      </c>
      <c r="J8" s="9" t="n">
        <v>6</v>
      </c>
      <c r="K8" s="9" t="n">
        <v>8</v>
      </c>
      <c r="L8" s="9" t="n">
        <v>6</v>
      </c>
      <c r="M8" s="9" t="n">
        <v>28</v>
      </c>
    </row>
    <row r="9" customFormat="false" ht="15" hidden="false" customHeight="false" outlineLevel="0" collapsed="false">
      <c r="A9" s="7" t="s">
        <v>38</v>
      </c>
      <c r="B9" s="9" t="n">
        <v>0.1</v>
      </c>
      <c r="C9" s="9" t="n">
        <v>2</v>
      </c>
      <c r="D9" s="9" t="n">
        <v>0.9</v>
      </c>
      <c r="E9" s="9" t="n">
        <v>1.2</v>
      </c>
      <c r="F9" s="9" t="n">
        <v>1.8</v>
      </c>
      <c r="G9" s="9" t="n">
        <v>0.7</v>
      </c>
      <c r="H9" s="9" t="n">
        <v>0.8</v>
      </c>
      <c r="I9" s="9" t="n">
        <v>0.4</v>
      </c>
      <c r="J9" s="9" t="n">
        <v>1.5</v>
      </c>
      <c r="K9" s="9" t="n">
        <v>2.1</v>
      </c>
      <c r="L9" s="9" t="n">
        <v>1.9</v>
      </c>
      <c r="M9" s="9" t="n">
        <v>1.5</v>
      </c>
    </row>
    <row r="10" customFormat="false" ht="15" hidden="false" customHeight="false" outlineLevel="0" collapsed="false">
      <c r="A10" s="7" t="s">
        <v>39</v>
      </c>
      <c r="B10" s="9" t="n">
        <v>0.2</v>
      </c>
      <c r="C10" s="9" t="n">
        <v>1.9</v>
      </c>
      <c r="D10" s="9" t="n">
        <v>0.7</v>
      </c>
      <c r="E10" s="9" t="n">
        <v>1.7</v>
      </c>
      <c r="F10" s="9" t="n">
        <v>0.8</v>
      </c>
      <c r="G10" s="9" t="n">
        <v>1.6</v>
      </c>
      <c r="H10" s="9" t="n">
        <v>1</v>
      </c>
      <c r="I10" s="9" t="n">
        <v>0.6</v>
      </c>
      <c r="J10" s="9" t="n">
        <v>1.5</v>
      </c>
      <c r="K10" s="9" t="n">
        <v>0.3</v>
      </c>
      <c r="L10" s="9" t="n">
        <v>2</v>
      </c>
      <c r="M10" s="9" t="n">
        <v>1.4</v>
      </c>
    </row>
    <row r="11" customFormat="false" ht="15" hidden="false" customHeight="false" outlineLevel="0" collapsed="false">
      <c r="A11" s="7" t="s">
        <v>40</v>
      </c>
      <c r="B11" s="9" t="n">
        <v>180</v>
      </c>
      <c r="C11" s="9" t="n">
        <v>180</v>
      </c>
      <c r="D11" s="9" t="n">
        <v>160</v>
      </c>
      <c r="E11" s="9" t="n">
        <v>190</v>
      </c>
      <c r="F11" s="9" t="n">
        <v>130</v>
      </c>
      <c r="G11" s="9" t="n">
        <v>160</v>
      </c>
      <c r="H11" s="9" t="n">
        <v>160</v>
      </c>
      <c r="I11" s="9" t="n">
        <v>130</v>
      </c>
      <c r="J11" s="9" t="n">
        <v>140</v>
      </c>
      <c r="K11" s="9" t="n">
        <v>150</v>
      </c>
      <c r="L11" s="9" t="n">
        <v>150</v>
      </c>
      <c r="M11" s="9" t="n">
        <v>150</v>
      </c>
    </row>
    <row r="12" customFormat="false" ht="15" hidden="false" customHeight="false" outlineLevel="0" collapsed="false">
      <c r="A12" s="7" t="s">
        <v>41</v>
      </c>
      <c r="B12" s="9" t="n">
        <v>3</v>
      </c>
      <c r="C12" s="9" t="n">
        <v>5</v>
      </c>
      <c r="D12" s="9" t="n">
        <v>2</v>
      </c>
      <c r="E12" s="9" t="n">
        <v>4</v>
      </c>
      <c r="F12" s="9" t="n">
        <v>2</v>
      </c>
      <c r="G12" s="9" t="n">
        <v>4</v>
      </c>
      <c r="H12" s="9" t="n">
        <v>2</v>
      </c>
      <c r="I12" s="9" t="n">
        <v>6</v>
      </c>
      <c r="J12" s="9" t="n">
        <v>2</v>
      </c>
      <c r="K12" s="9" t="n">
        <v>2</v>
      </c>
      <c r="L12" s="9" t="n">
        <v>4</v>
      </c>
      <c r="M12" s="9" t="n">
        <v>2</v>
      </c>
    </row>
    <row r="13" customFormat="false" ht="15" hidden="false" customHeight="false" outlineLevel="0" collapsed="false">
      <c r="A13" s="7" t="s">
        <v>42</v>
      </c>
      <c r="B13" s="9" t="n">
        <v>6</v>
      </c>
      <c r="C13" s="9" t="n">
        <v>7</v>
      </c>
      <c r="D13" s="9" t="n">
        <v>10</v>
      </c>
      <c r="E13" s="9" t="n">
        <v>5</v>
      </c>
      <c r="F13" s="9" t="n">
        <v>10</v>
      </c>
      <c r="G13" s="9" t="n">
        <v>7</v>
      </c>
      <c r="H13" s="9" t="n">
        <v>7</v>
      </c>
      <c r="I13" s="9" t="n">
        <v>10</v>
      </c>
      <c r="J13" s="9" t="n">
        <v>5</v>
      </c>
      <c r="K13" s="9" t="n">
        <v>7</v>
      </c>
      <c r="L13" s="9" t="n">
        <v>9</v>
      </c>
      <c r="M13" s="9" t="n">
        <v>8</v>
      </c>
    </row>
    <row r="14" customFormat="false" ht="15" hidden="false" customHeight="false" outlineLevel="0" collapsed="false">
      <c r="A14" s="7" t="s">
        <v>43</v>
      </c>
      <c r="B14" s="9" t="n">
        <v>30</v>
      </c>
      <c r="C14" s="9" t="n">
        <v>30</v>
      </c>
      <c r="D14" s="9" t="n">
        <v>27</v>
      </c>
      <c r="E14" s="9" t="n">
        <v>24</v>
      </c>
      <c r="F14" s="9" t="n">
        <v>25</v>
      </c>
      <c r="G14" s="9" t="n">
        <v>21</v>
      </c>
      <c r="H14" s="9" t="n">
        <v>21</v>
      </c>
      <c r="I14" s="9" t="n">
        <v>25</v>
      </c>
      <c r="J14" s="9" t="n">
        <v>22</v>
      </c>
      <c r="K14" s="9" t="n">
        <v>25</v>
      </c>
      <c r="L14" s="9" t="n">
        <v>22</v>
      </c>
      <c r="M14" s="9" t="n">
        <v>30</v>
      </c>
    </row>
    <row r="15" customFormat="false" ht="15" hidden="false" customHeight="false" outlineLevel="0" collapsed="false">
      <c r="A15" s="7" t="s">
        <v>77</v>
      </c>
      <c r="B15" s="9" t="n">
        <v>2.8</v>
      </c>
      <c r="C15" s="9" t="n">
        <v>0.6</v>
      </c>
      <c r="D15" s="9" t="n">
        <v>2.8</v>
      </c>
      <c r="E15" s="9" t="n">
        <v>1</v>
      </c>
      <c r="F15" s="9" t="n">
        <v>2.5</v>
      </c>
      <c r="G15" s="9" t="n">
        <v>0.8</v>
      </c>
      <c r="H15" s="9" t="n">
        <v>1.4</v>
      </c>
      <c r="I15" s="9" t="n">
        <v>1.5</v>
      </c>
      <c r="J15" s="9" t="n">
        <v>3.6</v>
      </c>
      <c r="K15" s="9" t="n">
        <v>3.2</v>
      </c>
      <c r="L15" s="9" t="n">
        <v>4.2</v>
      </c>
      <c r="M15" s="9" t="n">
        <v>2.6</v>
      </c>
    </row>
    <row r="16" customFormat="false" ht="15" hidden="false" customHeight="false" outlineLevel="0" collapsed="false">
      <c r="A16" s="7" t="s">
        <v>78</v>
      </c>
      <c r="B16" s="9" t="n">
        <v>3.4</v>
      </c>
      <c r="C16" s="9" t="n">
        <v>0.9</v>
      </c>
      <c r="D16" s="9" t="n">
        <v>3.4</v>
      </c>
      <c r="E16" s="9" t="n">
        <v>2</v>
      </c>
      <c r="F16" s="9" t="n">
        <v>3.2</v>
      </c>
      <c r="G16" s="9" t="n">
        <v>1.3</v>
      </c>
      <c r="H16" s="9" t="n">
        <v>2.5</v>
      </c>
      <c r="I16" s="9" t="n">
        <v>2.2</v>
      </c>
      <c r="J16" s="9" t="n">
        <v>4</v>
      </c>
      <c r="K16" s="9" t="n">
        <v>4.1</v>
      </c>
      <c r="L16" s="9" t="n">
        <v>5.2</v>
      </c>
      <c r="M16" s="9" t="n">
        <v>3.7</v>
      </c>
    </row>
    <row r="17" customFormat="false" ht="15" hidden="false" customHeight="false" outlineLevel="0" collapsed="false">
      <c r="A17" s="7" t="s">
        <v>79</v>
      </c>
      <c r="B17" s="9" t="n">
        <v>0.8</v>
      </c>
      <c r="C17" s="9" t="n">
        <v>0.4</v>
      </c>
      <c r="D17" s="9" t="n">
        <v>0.9</v>
      </c>
      <c r="E17" s="9" t="n">
        <v>0.3</v>
      </c>
      <c r="F17" s="9" t="n">
        <v>0.3</v>
      </c>
      <c r="G17" s="9" t="n">
        <v>0.4</v>
      </c>
      <c r="H17" s="9" t="n">
        <v>1.2</v>
      </c>
      <c r="I17" s="9" t="n">
        <v>0.2</v>
      </c>
      <c r="J17" s="9" t="n">
        <v>0.7</v>
      </c>
      <c r="K17" s="9" t="n">
        <v>0.3</v>
      </c>
      <c r="L17" s="9" t="n">
        <v>1.2</v>
      </c>
      <c r="M17" s="9" t="n">
        <v>1.1</v>
      </c>
    </row>
    <row r="18" customFormat="false" ht="15" hidden="false" customHeight="false" outlineLevel="0" collapsed="false">
      <c r="A18" s="7" t="s">
        <v>80</v>
      </c>
      <c r="B18" s="9" t="n">
        <v>2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0.5</v>
      </c>
      <c r="H18" s="9" t="n">
        <v>0.5</v>
      </c>
      <c r="I18" s="9" t="n">
        <v>0.5</v>
      </c>
      <c r="J18" s="9" t="n">
        <v>1</v>
      </c>
      <c r="K18" s="9" t="n">
        <v>1</v>
      </c>
      <c r="L18" s="9" t="n">
        <v>1</v>
      </c>
      <c r="M18" s="9" t="n">
        <v>1</v>
      </c>
    </row>
    <row r="20" customFormat="false" ht="15" hidden="false" customHeight="false" outlineLevel="0" collapsed="false">
      <c r="A20" s="7" t="s">
        <v>44</v>
      </c>
      <c r="B20" s="10" t="n">
        <v>10</v>
      </c>
    </row>
    <row r="21" customFormat="false" ht="15" hidden="false" customHeight="false" outlineLevel="0" collapsed="false">
      <c r="A21" s="7" t="s">
        <v>45</v>
      </c>
      <c r="B21" s="10" t="n">
        <v>10</v>
      </c>
    </row>
    <row r="22" customFormat="false" ht="15" hidden="false" customHeight="false" outlineLevel="0" collapsed="false">
      <c r="A22" s="7" t="s">
        <v>81</v>
      </c>
      <c r="B22" s="10" t="n">
        <v>300</v>
      </c>
    </row>
    <row r="23" customFormat="false" ht="15" hidden="false" customHeight="false" outlineLevel="0" collapsed="false">
      <c r="A23" s="7" t="s">
        <v>82</v>
      </c>
      <c r="B23" s="10" t="n">
        <v>3</v>
      </c>
    </row>
    <row r="25" customFormat="false" ht="15" hidden="false" customHeight="false" outlineLevel="0" collapsed="false">
      <c r="A25" s="3" t="s">
        <v>46</v>
      </c>
    </row>
    <row r="26" customFormat="false" ht="15" hidden="false" customHeight="false" outlineLevel="0" collapsed="false">
      <c r="A26" s="7"/>
      <c r="B26" s="8" t="s">
        <v>21</v>
      </c>
      <c r="C26" s="8" t="s">
        <v>22</v>
      </c>
      <c r="D26" s="8" t="s">
        <v>23</v>
      </c>
      <c r="E26" s="8" t="s">
        <v>24</v>
      </c>
      <c r="F26" s="8" t="s">
        <v>25</v>
      </c>
      <c r="G26" s="8" t="s">
        <v>26</v>
      </c>
      <c r="H26" s="8" t="s">
        <v>27</v>
      </c>
      <c r="I26" s="8" t="s">
        <v>28</v>
      </c>
      <c r="J26" s="8" t="s">
        <v>29</v>
      </c>
      <c r="K26" s="8" t="s">
        <v>30</v>
      </c>
      <c r="L26" s="8" t="s">
        <v>31</v>
      </c>
      <c r="M26" s="8" t="s">
        <v>32</v>
      </c>
      <c r="N26" s="8" t="s">
        <v>33</v>
      </c>
    </row>
    <row r="27" customFormat="false" ht="15" hidden="false" customHeight="false" outlineLevel="0" collapsed="false">
      <c r="A27" s="11" t="s">
        <v>47</v>
      </c>
      <c r="B27" s="12" t="n">
        <v>0</v>
      </c>
      <c r="C27" s="12" t="n">
        <v>0</v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3" t="n">
        <f aca="false">SUM(B27:M27)</f>
        <v>0</v>
      </c>
    </row>
    <row r="28" customFormat="false" ht="15" hidden="false" customHeight="false" outlineLevel="0" collapsed="false">
      <c r="A28" s="11" t="s">
        <v>48</v>
      </c>
      <c r="B28" s="12" t="n">
        <v>0</v>
      </c>
      <c r="C28" s="12" t="n">
        <v>0</v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3" t="n">
        <f aca="false">SUM(B28:M28)</f>
        <v>0</v>
      </c>
    </row>
    <row r="29" customFormat="false" ht="15" hidden="false" customHeight="false" outlineLevel="0" collapsed="false">
      <c r="A29" s="11" t="s">
        <v>49</v>
      </c>
      <c r="B29" s="12" t="n">
        <v>0</v>
      </c>
      <c r="C29" s="12" t="n">
        <v>0</v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3" t="n">
        <f aca="false">SUM(B29:M29)</f>
        <v>0</v>
      </c>
    </row>
    <row r="30" customFormat="false" ht="15" hidden="false" customHeight="false" outlineLevel="0" collapsed="false">
      <c r="A30" s="11" t="s">
        <v>50</v>
      </c>
      <c r="B30" s="12" t="n">
        <v>0</v>
      </c>
      <c r="C30" s="12" t="n">
        <v>0</v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3" t="n">
        <f aca="false">SUM(B30:M30)</f>
        <v>0</v>
      </c>
    </row>
    <row r="31" customFormat="false" ht="15" hidden="false" customHeight="false" outlineLevel="0" collapsed="false">
      <c r="A31" s="11" t="s">
        <v>83</v>
      </c>
      <c r="B31" s="12" t="n">
        <v>0</v>
      </c>
      <c r="C31" s="12" t="n">
        <v>0</v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3" t="n">
        <f aca="false">SUM(B31:M31)</f>
        <v>0</v>
      </c>
    </row>
    <row r="32" customFormat="false" ht="15" hidden="false" customHeight="false" outlineLevel="0" collapsed="false">
      <c r="A32" s="11" t="s">
        <v>84</v>
      </c>
      <c r="B32" s="12" t="n">
        <v>0</v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3" t="n">
        <f aca="false">SUM(B32:M32)</f>
        <v>0</v>
      </c>
    </row>
    <row r="33" customFormat="false" ht="15" hidden="false" customHeight="false" outlineLevel="0" collapsed="false">
      <c r="A33" s="11" t="s">
        <v>85</v>
      </c>
      <c r="B33" s="12" t="n">
        <v>0</v>
      </c>
      <c r="C33" s="12" t="n">
        <v>0</v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3" t="n">
        <f aca="false">SUM(B33:M33)</f>
        <v>0</v>
      </c>
    </row>
    <row r="35" customFormat="false" ht="15" hidden="false" customHeight="false" outlineLevel="0" collapsed="false">
      <c r="A35" s="3" t="s">
        <v>51</v>
      </c>
    </row>
    <row r="36" customFormat="false" ht="15" hidden="false" customHeight="false" outlineLevel="0" collapsed="false">
      <c r="A36" s="7"/>
      <c r="B36" s="8" t="s">
        <v>21</v>
      </c>
      <c r="C36" s="8" t="s">
        <v>22</v>
      </c>
      <c r="D36" s="8" t="s">
        <v>23</v>
      </c>
      <c r="E36" s="8" t="s">
        <v>24</v>
      </c>
      <c r="F36" s="8" t="s">
        <v>25</v>
      </c>
      <c r="G36" s="8" t="s">
        <v>26</v>
      </c>
      <c r="H36" s="8" t="s">
        <v>27</v>
      </c>
      <c r="I36" s="8" t="s">
        <v>28</v>
      </c>
      <c r="J36" s="8" t="s">
        <v>29</v>
      </c>
      <c r="K36" s="8" t="s">
        <v>30</v>
      </c>
      <c r="L36" s="8" t="s">
        <v>31</v>
      </c>
      <c r="M36" s="8" t="s">
        <v>32</v>
      </c>
      <c r="N36" s="8" t="s">
        <v>33</v>
      </c>
    </row>
    <row r="37" customFormat="false" ht="15" hidden="false" customHeight="false" outlineLevel="0" collapsed="false">
      <c r="A37" s="7" t="s">
        <v>52</v>
      </c>
      <c r="B37" s="14" t="n">
        <f aca="false">$B$20+B27-B29</f>
        <v>10</v>
      </c>
      <c r="C37" s="14" t="n">
        <f aca="false">B37+C27-C29</f>
        <v>10</v>
      </c>
      <c r="D37" s="14" t="n">
        <f aca="false">C37+D27-D29</f>
        <v>10</v>
      </c>
      <c r="E37" s="14" t="n">
        <f aca="false">D37+E27-E29</f>
        <v>10</v>
      </c>
      <c r="F37" s="14" t="n">
        <f aca="false">E37+F27-F29</f>
        <v>10</v>
      </c>
      <c r="G37" s="14" t="n">
        <f aca="false">F37+G27-G29</f>
        <v>10</v>
      </c>
      <c r="H37" s="14" t="n">
        <f aca="false">G37+H27-H29</f>
        <v>10</v>
      </c>
      <c r="I37" s="14" t="n">
        <f aca="false">H37+I27-I29</f>
        <v>10</v>
      </c>
      <c r="J37" s="14" t="n">
        <f aca="false">I37+J27-J29</f>
        <v>10</v>
      </c>
      <c r="K37" s="14" t="n">
        <f aca="false">J37+K27-K29</f>
        <v>10</v>
      </c>
      <c r="L37" s="14" t="n">
        <f aca="false">K37+L27-L29</f>
        <v>10</v>
      </c>
      <c r="M37" s="14" t="n">
        <f aca="false">L37+M27-M29</f>
        <v>10</v>
      </c>
      <c r="N37" s="7" t="s">
        <v>53</v>
      </c>
    </row>
    <row r="38" customFormat="false" ht="15" hidden="false" customHeight="false" outlineLevel="0" collapsed="false">
      <c r="A38" s="7" t="s">
        <v>54</v>
      </c>
      <c r="B38" s="14" t="n">
        <f aca="false">$B$21+B28-B30</f>
        <v>10</v>
      </c>
      <c r="C38" s="14" t="n">
        <f aca="false">B38+C28-C30</f>
        <v>10</v>
      </c>
      <c r="D38" s="14" t="n">
        <f aca="false">C38+D28-D30</f>
        <v>10</v>
      </c>
      <c r="E38" s="14" t="n">
        <f aca="false">D38+E28-E30</f>
        <v>10</v>
      </c>
      <c r="F38" s="14" t="n">
        <f aca="false">E38+F28-F30</f>
        <v>10</v>
      </c>
      <c r="G38" s="14" t="n">
        <f aca="false">F38+G28-G30</f>
        <v>10</v>
      </c>
      <c r="H38" s="14" t="n">
        <f aca="false">G38+H28-H30</f>
        <v>10</v>
      </c>
      <c r="I38" s="14" t="n">
        <f aca="false">H38+I28-I30</f>
        <v>10</v>
      </c>
      <c r="J38" s="14" t="n">
        <f aca="false">I38+J28-J30</f>
        <v>10</v>
      </c>
      <c r="K38" s="14" t="n">
        <f aca="false">J38+K28-K30</f>
        <v>10</v>
      </c>
      <c r="L38" s="14" t="n">
        <f aca="false">K38+L28-L30</f>
        <v>10</v>
      </c>
      <c r="M38" s="14" t="n">
        <f aca="false">L38+M28-M30</f>
        <v>10</v>
      </c>
      <c r="N38" s="7" t="s">
        <v>53</v>
      </c>
    </row>
    <row r="39" customFormat="false" ht="15" hidden="false" customHeight="false" outlineLevel="0" collapsed="false">
      <c r="A39" s="7" t="s">
        <v>55</v>
      </c>
      <c r="B39" s="14" t="n">
        <f aca="false">B37+B38</f>
        <v>20</v>
      </c>
      <c r="C39" s="14" t="n">
        <f aca="false">C37+C38</f>
        <v>20</v>
      </c>
      <c r="D39" s="14" t="n">
        <f aca="false">D37+D38</f>
        <v>20</v>
      </c>
      <c r="E39" s="14" t="n">
        <f aca="false">E37+E38</f>
        <v>20</v>
      </c>
      <c r="F39" s="14" t="n">
        <f aca="false">F37+F38</f>
        <v>20</v>
      </c>
      <c r="G39" s="14" t="n">
        <f aca="false">G37+G38</f>
        <v>20</v>
      </c>
      <c r="H39" s="14" t="n">
        <f aca="false">H37+H38</f>
        <v>20</v>
      </c>
      <c r="I39" s="14" t="n">
        <f aca="false">I37+I38</f>
        <v>20</v>
      </c>
      <c r="J39" s="14" t="n">
        <f aca="false">J37+J38</f>
        <v>20</v>
      </c>
      <c r="K39" s="14" t="n">
        <f aca="false">K37+K38</f>
        <v>20</v>
      </c>
      <c r="L39" s="14" t="n">
        <f aca="false">L37+L38</f>
        <v>20</v>
      </c>
      <c r="M39" s="14" t="n">
        <f aca="false">M37+M38</f>
        <v>20</v>
      </c>
      <c r="N39" s="7" t="s">
        <v>53</v>
      </c>
    </row>
    <row r="40" customFormat="false" ht="15" hidden="false" customHeight="false" outlineLevel="0" collapsed="false">
      <c r="A40" s="7" t="s">
        <v>86</v>
      </c>
      <c r="B40" s="14" t="n">
        <f aca="false">$B$22+B31-B32</f>
        <v>300</v>
      </c>
      <c r="C40" s="14" t="n">
        <f aca="false">B40+C31-C32</f>
        <v>300</v>
      </c>
      <c r="D40" s="14" t="n">
        <f aca="false">C40+D31-D32</f>
        <v>300</v>
      </c>
      <c r="E40" s="14" t="n">
        <f aca="false">D40+E31-E32</f>
        <v>300</v>
      </c>
      <c r="F40" s="14" t="n">
        <f aca="false">E40+F31-F32</f>
        <v>300</v>
      </c>
      <c r="G40" s="14" t="n">
        <f aca="false">F40+G31-G32</f>
        <v>300</v>
      </c>
      <c r="H40" s="14" t="n">
        <f aca="false">G40+H31-H32</f>
        <v>300</v>
      </c>
      <c r="I40" s="14" t="n">
        <f aca="false">H40+I31-I32</f>
        <v>300</v>
      </c>
      <c r="J40" s="14" t="n">
        <f aca="false">I40+J31-J32</f>
        <v>300</v>
      </c>
      <c r="K40" s="14" t="n">
        <f aca="false">J40+K31-K32</f>
        <v>300</v>
      </c>
      <c r="L40" s="14" t="n">
        <f aca="false">K40+L31-L32</f>
        <v>300</v>
      </c>
      <c r="M40" s="14" t="n">
        <f aca="false">L40+M31-M32</f>
        <v>300</v>
      </c>
      <c r="N40" s="7" t="s">
        <v>53</v>
      </c>
    </row>
    <row r="41" customFormat="false" ht="15" hidden="false" customHeight="false" outlineLevel="0" collapsed="false">
      <c r="A41" s="7" t="s">
        <v>56</v>
      </c>
      <c r="B41" s="14" t="n">
        <f aca="false">B9*B27+B10*B28</f>
        <v>0</v>
      </c>
      <c r="C41" s="14" t="n">
        <f aca="false">C9*C27+C10*C28</f>
        <v>0</v>
      </c>
      <c r="D41" s="14" t="n">
        <f aca="false">D9*D27+D10*D28</f>
        <v>0</v>
      </c>
      <c r="E41" s="14" t="n">
        <f aca="false">E9*E27+E10*E28</f>
        <v>0</v>
      </c>
      <c r="F41" s="14" t="n">
        <f aca="false">F9*F27+F10*F28</f>
        <v>0</v>
      </c>
      <c r="G41" s="14" t="n">
        <f aca="false">G9*G27+G10*G28</f>
        <v>0</v>
      </c>
      <c r="H41" s="14" t="n">
        <f aca="false">H9*H27+H10*H28</f>
        <v>0</v>
      </c>
      <c r="I41" s="14" t="n">
        <f aca="false">I9*I27+I10*I28</f>
        <v>0</v>
      </c>
      <c r="J41" s="14" t="n">
        <f aca="false">J9*J27+J10*J28</f>
        <v>0</v>
      </c>
      <c r="K41" s="14" t="n">
        <f aca="false">K9*K27+K10*K28</f>
        <v>0</v>
      </c>
      <c r="L41" s="14" t="n">
        <f aca="false">L9*L27+L10*L28</f>
        <v>0</v>
      </c>
      <c r="M41" s="14" t="n">
        <f aca="false">M9*M27+M10*M28</f>
        <v>0</v>
      </c>
      <c r="N41" s="11" t="n">
        <f aca="false">SUM(B41:M41)</f>
        <v>0</v>
      </c>
    </row>
    <row r="42" customFormat="false" ht="15" hidden="false" customHeight="false" outlineLevel="0" collapsed="false">
      <c r="A42" s="7" t="s">
        <v>57</v>
      </c>
      <c r="B42" s="14" t="n">
        <f aca="false">B11-B41</f>
        <v>180</v>
      </c>
      <c r="C42" s="14" t="n">
        <f aca="false">C11-C41</f>
        <v>180</v>
      </c>
      <c r="D42" s="14" t="n">
        <f aca="false">D11-D41</f>
        <v>160</v>
      </c>
      <c r="E42" s="14" t="n">
        <f aca="false">E11-E41</f>
        <v>190</v>
      </c>
      <c r="F42" s="14" t="n">
        <f aca="false">F11-F41</f>
        <v>130</v>
      </c>
      <c r="G42" s="14" t="n">
        <f aca="false">G11-G41</f>
        <v>160</v>
      </c>
      <c r="H42" s="14" t="n">
        <f aca="false">H11-H41</f>
        <v>160</v>
      </c>
      <c r="I42" s="14" t="n">
        <f aca="false">I11-I41</f>
        <v>130</v>
      </c>
      <c r="J42" s="14" t="n">
        <f aca="false">J11-J41</f>
        <v>140</v>
      </c>
      <c r="K42" s="14" t="n">
        <f aca="false">K11-K41</f>
        <v>150</v>
      </c>
      <c r="L42" s="14" t="n">
        <f aca="false">L11-L41</f>
        <v>150</v>
      </c>
      <c r="M42" s="14" t="n">
        <f aca="false">M11-M41</f>
        <v>150</v>
      </c>
      <c r="N42" s="7" t="s">
        <v>53</v>
      </c>
    </row>
    <row r="43" customFormat="false" ht="15" hidden="false" customHeight="false" outlineLevel="0" collapsed="false">
      <c r="A43" s="7" t="s">
        <v>87</v>
      </c>
      <c r="B43" s="14" t="n">
        <f aca="false">$B$23*(B27+B28)</f>
        <v>0</v>
      </c>
      <c r="C43" s="14" t="n">
        <f aca="false">$B$23*(C27+C28)</f>
        <v>0</v>
      </c>
      <c r="D43" s="14" t="n">
        <f aca="false">$B$23*(D27+D28)</f>
        <v>0</v>
      </c>
      <c r="E43" s="14" t="n">
        <f aca="false">$B$23*(E27+E28)</f>
        <v>0</v>
      </c>
      <c r="F43" s="14" t="n">
        <f aca="false">$B$23*(F27+F28)</f>
        <v>0</v>
      </c>
      <c r="G43" s="14" t="n">
        <f aca="false">$B$23*(G27+G28)</f>
        <v>0</v>
      </c>
      <c r="H43" s="14" t="n">
        <f aca="false">$B$23*(H27+H28)</f>
        <v>0</v>
      </c>
      <c r="I43" s="14" t="n">
        <f aca="false">$B$23*(I27+I28)</f>
        <v>0</v>
      </c>
      <c r="J43" s="14" t="n">
        <f aca="false">$B$23*(J27+J28)</f>
        <v>0</v>
      </c>
      <c r="K43" s="14" t="n">
        <f aca="false">$B$23*(K27+K28)</f>
        <v>0</v>
      </c>
      <c r="L43" s="14" t="n">
        <f aca="false">$B$23*(L27+L28)</f>
        <v>0</v>
      </c>
      <c r="M43" s="14" t="n">
        <f aca="false">$B$23*(M27+M28)</f>
        <v>0</v>
      </c>
      <c r="N43" s="7" t="s">
        <v>53</v>
      </c>
    </row>
    <row r="44" customFormat="false" ht="15" hidden="false" customHeight="false" outlineLevel="0" collapsed="false">
      <c r="A44" s="7" t="s">
        <v>88</v>
      </c>
      <c r="B44" s="14" t="n">
        <f aca="false">B40+B33</f>
        <v>300</v>
      </c>
      <c r="C44" s="14" t="n">
        <f aca="false">C40+C33</f>
        <v>300</v>
      </c>
      <c r="D44" s="14" t="n">
        <f aca="false">D40+D33</f>
        <v>300</v>
      </c>
      <c r="E44" s="14" t="n">
        <f aca="false">E40+E33</f>
        <v>300</v>
      </c>
      <c r="F44" s="14" t="n">
        <f aca="false">F40+F33</f>
        <v>300</v>
      </c>
      <c r="G44" s="14" t="n">
        <f aca="false">G40+G33</f>
        <v>300</v>
      </c>
      <c r="H44" s="14" t="n">
        <f aca="false">H40+H33</f>
        <v>300</v>
      </c>
      <c r="I44" s="14" t="n">
        <f aca="false">I40+I33</f>
        <v>300</v>
      </c>
      <c r="J44" s="14" t="n">
        <f aca="false">J40+J33</f>
        <v>300</v>
      </c>
      <c r="K44" s="14" t="n">
        <f aca="false">K40+K33</f>
        <v>300</v>
      </c>
      <c r="L44" s="14" t="n">
        <f aca="false">L40+L33</f>
        <v>300</v>
      </c>
      <c r="M44" s="14" t="n">
        <f aca="false">M40+M33</f>
        <v>300</v>
      </c>
      <c r="N44" s="7" t="s">
        <v>53</v>
      </c>
    </row>
    <row r="46" customFormat="false" ht="15" hidden="false" customHeight="false" outlineLevel="0" collapsed="false">
      <c r="A46" s="3" t="s">
        <v>58</v>
      </c>
    </row>
    <row r="47" customFormat="false" ht="15" hidden="false" customHeight="false" outlineLevel="0" collapsed="false">
      <c r="A47" s="7" t="s">
        <v>59</v>
      </c>
      <c r="B47" s="15" t="n">
        <f aca="false">SUMPRODUCT(B7:M7,B29:M29)+SUMPRODUCT(B8:M8,B30:M30)</f>
        <v>0</v>
      </c>
    </row>
    <row r="48" customFormat="false" ht="15" hidden="false" customHeight="false" outlineLevel="0" collapsed="false">
      <c r="A48" s="7" t="s">
        <v>60</v>
      </c>
      <c r="B48" s="15" t="n">
        <f aca="false">SUMPRODUCT(B12:M12,B39:M39)</f>
        <v>760</v>
      </c>
    </row>
    <row r="49" customFormat="false" ht="15" hidden="false" customHeight="false" outlineLevel="0" collapsed="false">
      <c r="A49" s="7" t="s">
        <v>89</v>
      </c>
      <c r="B49" s="15" t="n">
        <f aca="false">SUMPRODUCT(B15:M15,B40:M40)</f>
        <v>8100</v>
      </c>
    </row>
    <row r="50" customFormat="false" ht="15" hidden="false" customHeight="false" outlineLevel="0" collapsed="false">
      <c r="A50" s="7" t="s">
        <v>90</v>
      </c>
      <c r="B50" s="15" t="n">
        <f aca="false">SUMPRODUCT(B16:M16,B33:M33)</f>
        <v>0</v>
      </c>
    </row>
    <row r="51" customFormat="false" ht="15" hidden="false" customHeight="false" outlineLevel="0" collapsed="false">
      <c r="A51" s="7" t="s">
        <v>91</v>
      </c>
      <c r="B51" s="15" t="n">
        <f aca="false">SUMPRODUCT(B17:M17,B31:M31)</f>
        <v>0</v>
      </c>
    </row>
    <row r="52" customFormat="false" ht="15" hidden="false" customHeight="false" outlineLevel="0" collapsed="false">
      <c r="A52" s="7" t="s">
        <v>92</v>
      </c>
      <c r="B52" s="15" t="n">
        <f aca="false">SUMPRODUCT(B18:M18,B32:M32)</f>
        <v>0</v>
      </c>
    </row>
    <row r="53" customFormat="false" ht="15" hidden="false" customHeight="false" outlineLevel="0" collapsed="false">
      <c r="A53" s="11" t="s">
        <v>93</v>
      </c>
      <c r="B53" s="16" t="n">
        <f aca="false">B47-B48-B49-B50-B51-B52</f>
        <v>-8860</v>
      </c>
    </row>
    <row r="55" customFormat="false" ht="15" hidden="false" customHeight="false" outlineLevel="0" collapsed="false">
      <c r="A55" s="3" t="s">
        <v>62</v>
      </c>
    </row>
    <row r="56" customFormat="false" ht="15" hidden="false" customHeight="false" outlineLevel="0" collapsed="false">
      <c r="A56" s="17" t="s">
        <v>94</v>
      </c>
    </row>
    <row r="57" customFormat="false" ht="15" hidden="false" customHeight="false" outlineLevel="0" collapsed="false">
      <c r="A57" s="17" t="s">
        <v>64</v>
      </c>
    </row>
    <row r="58" customFormat="false" ht="15" hidden="false" customHeight="false" outlineLevel="0" collapsed="false">
      <c r="A58" s="17" t="s">
        <v>95</v>
      </c>
    </row>
    <row r="59" customFormat="false" ht="15" hidden="false" customHeight="false" outlineLevel="0" collapsed="false">
      <c r="A59" s="17" t="s">
        <v>96</v>
      </c>
    </row>
    <row r="60" customFormat="false" ht="15" hidden="false" customHeight="false" outlineLevel="0" collapsed="false">
      <c r="A60" s="17" t="s">
        <v>66</v>
      </c>
    </row>
    <row r="61" customFormat="false" ht="15" hidden="false" customHeight="false" outlineLevel="0" collapsed="false">
      <c r="A61" s="17" t="s">
        <v>97</v>
      </c>
    </row>
    <row r="62" customFormat="false" ht="15" hidden="false" customHeight="false" outlineLevel="0" collapsed="false">
      <c r="A62" s="17" t="s">
        <v>98</v>
      </c>
    </row>
    <row r="63" customFormat="false" ht="15" hidden="false" customHeight="false" outlineLevel="0" collapsed="false">
      <c r="A63" s="17" t="s">
        <v>99</v>
      </c>
    </row>
    <row r="64" customFormat="false" ht="15" hidden="false" customHeight="false" outlineLevel="0" collapsed="false">
      <c r="A64" s="17" t="s">
        <v>100</v>
      </c>
    </row>
    <row r="65" customFormat="false" ht="15" hidden="false" customHeight="false" outlineLevel="0" collapsed="false">
      <c r="A65" s="17" t="s">
        <v>101</v>
      </c>
    </row>
    <row r="66" customFormat="false" ht="15" hidden="false" customHeight="false" outlineLevel="0" collapsed="false">
      <c r="A66" s="17" t="s">
        <v>102</v>
      </c>
    </row>
    <row r="67" customFormat="false" ht="15" hidden="false" customHeight="false" outlineLevel="0" collapsed="false">
      <c r="A67" s="17" t="s">
        <v>103</v>
      </c>
    </row>
    <row r="68" customFormat="false" ht="15" hidden="false" customHeight="false" outlineLevel="0" collapsed="false">
      <c r="A68" s="17" t="s">
        <v>104</v>
      </c>
    </row>
    <row r="69" customFormat="false" ht="15" hidden="false" customHeight="false" outlineLevel="0" collapsed="false">
      <c r="A69" s="17" t="s">
        <v>105</v>
      </c>
    </row>
    <row r="70" customFormat="false" ht="15" hidden="false" customHeight="false" outlineLevel="0" collapsed="false">
      <c r="A70" s="17" t="s">
        <v>74</v>
      </c>
    </row>
    <row r="71" customFormat="false" ht="15" hidden="false" customHeight="false" outlineLevel="0" collapsed="false">
      <c r="A71" s="17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20"/>
  </cols>
  <sheetData>
    <row r="1" customFormat="false" ht="17.35" hidden="false" customHeight="false" outlineLevel="0" collapsed="false">
      <c r="A1" s="6" t="s">
        <v>106</v>
      </c>
    </row>
    <row r="3" customFormat="false" ht="26.85" hidden="false" customHeight="false" outlineLevel="0" collapsed="false">
      <c r="A3" s="18" t="s">
        <v>107</v>
      </c>
      <c r="B3" s="18" t="s">
        <v>108</v>
      </c>
      <c r="C3" s="18" t="s">
        <v>109</v>
      </c>
    </row>
    <row r="4" customFormat="false" ht="15" hidden="false" customHeight="false" outlineLevel="0" collapsed="false">
      <c r="A4" s="7" t="s">
        <v>110</v>
      </c>
      <c r="B4" s="15" t="n">
        <f aca="false">'Parte 1 - Modelo Base'!B35</f>
        <v>0</v>
      </c>
      <c r="C4" s="15" t="n">
        <f aca="false">'Parte 2 - Con RRHH'!B47</f>
        <v>0</v>
      </c>
    </row>
    <row r="5" customFormat="false" ht="15" hidden="false" customHeight="false" outlineLevel="0" collapsed="false">
      <c r="A5" s="7" t="s">
        <v>111</v>
      </c>
      <c r="B5" s="15" t="n">
        <f aca="false">'Parte 1 - Modelo Base'!B36</f>
        <v>760</v>
      </c>
      <c r="C5" s="15" t="n">
        <f aca="false">'Parte 2 - Con RRHH'!B48</f>
        <v>760</v>
      </c>
    </row>
    <row r="6" customFormat="false" ht="15" hidden="false" customHeight="false" outlineLevel="0" collapsed="false">
      <c r="A6" s="7" t="s">
        <v>89</v>
      </c>
      <c r="B6" s="15" t="n">
        <f aca="false">0</f>
        <v>0</v>
      </c>
      <c r="C6" s="15" t="n">
        <f aca="false">'Parte 2 - Con RRHH'!B49</f>
        <v>8100</v>
      </c>
    </row>
    <row r="7" customFormat="false" ht="15" hidden="false" customHeight="false" outlineLevel="0" collapsed="false">
      <c r="A7" s="7" t="s">
        <v>90</v>
      </c>
      <c r="B7" s="15" t="n">
        <f aca="false">0</f>
        <v>0</v>
      </c>
      <c r="C7" s="15" t="n">
        <f aca="false">'Parte 2 - Con RRHH'!B50</f>
        <v>0</v>
      </c>
    </row>
    <row r="8" customFormat="false" ht="15" hidden="false" customHeight="false" outlineLevel="0" collapsed="false">
      <c r="A8" s="7" t="s">
        <v>91</v>
      </c>
      <c r="B8" s="15" t="n">
        <f aca="false">0</f>
        <v>0</v>
      </c>
      <c r="C8" s="15" t="n">
        <f aca="false">'Parte 2 - Con RRHH'!B51</f>
        <v>0</v>
      </c>
    </row>
    <row r="9" customFormat="false" ht="15" hidden="false" customHeight="false" outlineLevel="0" collapsed="false">
      <c r="A9" s="7" t="s">
        <v>92</v>
      </c>
      <c r="B9" s="15" t="n">
        <f aca="false">0</f>
        <v>0</v>
      </c>
      <c r="C9" s="15" t="n">
        <f aca="false">'Parte 2 - Con RRHH'!B52</f>
        <v>0</v>
      </c>
    </row>
    <row r="10" customFormat="false" ht="15" hidden="false" customHeight="false" outlineLevel="0" collapsed="false">
      <c r="A10" s="11" t="s">
        <v>112</v>
      </c>
      <c r="B10" s="16" t="n">
        <f aca="false">'Parte 1 - Modelo Base'!B37</f>
        <v>-760</v>
      </c>
      <c r="C10" s="16" t="n">
        <f aca="false">'Parte 2 - Con RRHH'!B53</f>
        <v>-8860</v>
      </c>
    </row>
    <row r="12" customFormat="false" ht="15" hidden="false" customHeight="false" outlineLevel="0" collapsed="false">
      <c r="A12" s="11" t="s">
        <v>113</v>
      </c>
      <c r="B12" s="19" t="n">
        <f aca="false">B11-C11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2026-09-25T23:41:59Z</dcterms:created>
  <dc:creator>openpyxl</dc:creator>
  <dc:description/>
  <dc:language>en-US</dc:language>
  <cp:lastModifiedBy/>
  <dcterms:modified xsi:type="dcterms:W3CDTF">2026-09-25T23:41:59Z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