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 1 - Modelo Base" sheetId="1" state="visible" r:id="rId1"/>
    <sheet xmlns:r="http://schemas.openxmlformats.org/officeDocument/2006/relationships" name="Parte 2 - Con RRHH" sheetId="2" state="visible" r:id="rId2"/>
    <sheet xmlns:r="http://schemas.openxmlformats.org/officeDocument/2006/relationships" name="Comparación y Anál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595959"/>
      <sz val="1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3" fillId="0" borderId="1" pivotButton="0" quotePrefix="0" xfId="0"/>
    <xf numFmtId="4" fontId="5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</cols>
  <sheetData>
    <row r="1">
      <c r="A1" s="1" t="inlineStr">
        <is>
          <t>TAREA COMPUTACIONAL 1 - OPTIMIZACIÓN</t>
        </is>
      </c>
    </row>
    <row r="2">
      <c r="A2" s="2" t="inlineStr">
        <is>
          <t>Parte 1: Modelo de Programación Lineal para Planificación de la Producción (Base)</t>
        </is>
      </c>
    </row>
    <row r="3"/>
    <row r="4">
      <c r="A4" s="3" t="inlineStr">
        <is>
          <t>1. PARÁMETROS DEL PROBLEMA</t>
        </is>
      </c>
    </row>
    <row r="5" ht="20" customHeight="1">
      <c r="A5" s="4" t="inlineStr">
        <is>
          <t>Parámetro / Mes</t>
        </is>
      </c>
      <c r="B5" s="4" t="inlineStr">
        <is>
          <t>Mes 1</t>
        </is>
      </c>
      <c r="C5" s="4" t="inlineStr">
        <is>
          <t>Mes 2</t>
        </is>
      </c>
      <c r="D5" s="4" t="inlineStr">
        <is>
          <t>Mes 3</t>
        </is>
      </c>
      <c r="E5" s="4" t="inlineStr">
        <is>
          <t>Mes 4</t>
        </is>
      </c>
      <c r="F5" s="4" t="inlineStr">
        <is>
          <t>Mes 5</t>
        </is>
      </c>
      <c r="G5" s="4" t="inlineStr">
        <is>
          <t>Mes 6</t>
        </is>
      </c>
      <c r="H5" s="4" t="inlineStr">
        <is>
          <t>Mes 7</t>
        </is>
      </c>
      <c r="I5" s="4" t="inlineStr">
        <is>
          <t>Mes 8</t>
        </is>
      </c>
      <c r="J5" s="4" t="inlineStr">
        <is>
          <t>Mes 9</t>
        </is>
      </c>
      <c r="K5" s="4" t="inlineStr">
        <is>
          <t>Mes 10</t>
        </is>
      </c>
      <c r="L5" s="4" t="inlineStr">
        <is>
          <t>Mes 11</t>
        </is>
      </c>
      <c r="M5" s="4" t="inlineStr">
        <is>
          <t>Mes 12</t>
        </is>
      </c>
    </row>
    <row r="6">
      <c r="A6" s="5" t="inlineStr">
        <is>
          <t>Demanda Máx A (unid)</t>
        </is>
      </c>
      <c r="B6" s="6" t="n">
        <v>73</v>
      </c>
      <c r="C6" s="6" t="n">
        <v>60</v>
      </c>
      <c r="D6" s="6" t="n">
        <v>48</v>
      </c>
      <c r="E6" s="6" t="n">
        <v>66</v>
      </c>
      <c r="F6" s="6" t="n">
        <v>63</v>
      </c>
      <c r="G6" s="6" t="n">
        <v>48</v>
      </c>
      <c r="H6" s="6" t="n">
        <v>57</v>
      </c>
      <c r="I6" s="6" t="n">
        <v>68</v>
      </c>
      <c r="J6" s="6" t="n">
        <v>52</v>
      </c>
      <c r="K6" s="6" t="n">
        <v>76</v>
      </c>
      <c r="L6" s="6" t="n">
        <v>67</v>
      </c>
      <c r="M6" s="6" t="n">
        <v>76</v>
      </c>
    </row>
    <row r="7">
      <c r="A7" s="5" t="inlineStr">
        <is>
          <t>Demanda Máx B (unid)</t>
        </is>
      </c>
      <c r="B7" s="6" t="n">
        <v>63</v>
      </c>
      <c r="C7" s="6" t="n">
        <v>72</v>
      </c>
      <c r="D7" s="6" t="n">
        <v>57</v>
      </c>
      <c r="E7" s="6" t="n">
        <v>67</v>
      </c>
      <c r="F7" s="6" t="n">
        <v>44</v>
      </c>
      <c r="G7" s="6" t="n">
        <v>59</v>
      </c>
      <c r="H7" s="6" t="n">
        <v>48</v>
      </c>
      <c r="I7" s="6" t="n">
        <v>64</v>
      </c>
      <c r="J7" s="6" t="n">
        <v>40</v>
      </c>
      <c r="K7" s="6" t="n">
        <v>63</v>
      </c>
      <c r="L7" s="6" t="n">
        <v>64</v>
      </c>
      <c r="M7" s="6" t="n">
        <v>77</v>
      </c>
    </row>
    <row r="8">
      <c r="A8" s="5" t="inlineStr">
        <is>
          <t>Utilidad Venta A ($/unid)</t>
        </is>
      </c>
      <c r="B8" s="6" t="n">
        <v>8</v>
      </c>
      <c r="C8" s="6" t="n">
        <v>22</v>
      </c>
      <c r="D8" s="6" t="n">
        <v>6</v>
      </c>
      <c r="E8" s="6" t="n">
        <v>32</v>
      </c>
      <c r="F8" s="6" t="n">
        <v>28</v>
      </c>
      <c r="G8" s="6" t="n">
        <v>14</v>
      </c>
      <c r="H8" s="6" t="n">
        <v>20</v>
      </c>
      <c r="I8" s="6" t="n">
        <v>36</v>
      </c>
      <c r="J8" s="6" t="n">
        <v>10</v>
      </c>
      <c r="K8" s="6" t="n">
        <v>6</v>
      </c>
      <c r="L8" s="6" t="n">
        <v>40</v>
      </c>
      <c r="M8" s="6" t="n">
        <v>22</v>
      </c>
    </row>
    <row r="9">
      <c r="A9" s="5" t="inlineStr">
        <is>
          <t>Utilidad Venta B ($/unid)</t>
        </is>
      </c>
      <c r="B9" s="6" t="n">
        <v>20</v>
      </c>
      <c r="C9" s="6" t="n">
        <v>16</v>
      </c>
      <c r="D9" s="6" t="n">
        <v>20</v>
      </c>
      <c r="E9" s="6" t="n">
        <v>6</v>
      </c>
      <c r="F9" s="6" t="n">
        <v>20</v>
      </c>
      <c r="G9" s="6" t="n">
        <v>29</v>
      </c>
      <c r="H9" s="6" t="n">
        <v>8</v>
      </c>
      <c r="I9" s="6" t="n">
        <v>30</v>
      </c>
      <c r="J9" s="6" t="n">
        <v>6</v>
      </c>
      <c r="K9" s="6" t="n">
        <v>8</v>
      </c>
      <c r="L9" s="6" t="n">
        <v>6</v>
      </c>
      <c r="M9" s="6" t="n">
        <v>28</v>
      </c>
    </row>
    <row r="10">
      <c r="A10" s="5" t="inlineStr">
        <is>
          <t>Horas Máq A (hr/unid)</t>
        </is>
      </c>
      <c r="B10" s="7" t="n">
        <v>0.1</v>
      </c>
      <c r="C10" s="6" t="n">
        <v>2</v>
      </c>
      <c r="D10" s="7" t="n">
        <v>0.9</v>
      </c>
      <c r="E10" s="7" t="n">
        <v>1.2</v>
      </c>
      <c r="F10" s="7" t="n">
        <v>1.8</v>
      </c>
      <c r="G10" s="7" t="n">
        <v>0.7</v>
      </c>
      <c r="H10" s="7" t="n">
        <v>0.8</v>
      </c>
      <c r="I10" s="7" t="n">
        <v>0.4</v>
      </c>
      <c r="J10" s="7" t="n">
        <v>1.5</v>
      </c>
      <c r="K10" s="7" t="n">
        <v>2.1</v>
      </c>
      <c r="L10" s="7" t="n">
        <v>1.9</v>
      </c>
      <c r="M10" s="7" t="n">
        <v>1.5</v>
      </c>
    </row>
    <row r="11">
      <c r="A11" s="5" t="inlineStr">
        <is>
          <t>Horas Máq B (hr/unid)</t>
        </is>
      </c>
      <c r="B11" s="7" t="n">
        <v>0.2</v>
      </c>
      <c r="C11" s="7" t="n">
        <v>1.9</v>
      </c>
      <c r="D11" s="7" t="n">
        <v>0.7</v>
      </c>
      <c r="E11" s="7" t="n">
        <v>1.7</v>
      </c>
      <c r="F11" s="7" t="n">
        <v>0.8</v>
      </c>
      <c r="G11" s="7" t="n">
        <v>1.6</v>
      </c>
      <c r="H11" s="6" t="n">
        <v>1</v>
      </c>
      <c r="I11" s="7" t="n">
        <v>0.6</v>
      </c>
      <c r="J11" s="7" t="n">
        <v>1.5</v>
      </c>
      <c r="K11" s="7" t="n">
        <v>0.3</v>
      </c>
      <c r="L11" s="6" t="n">
        <v>2</v>
      </c>
      <c r="M11" s="7" t="n">
        <v>1.4</v>
      </c>
    </row>
    <row r="12">
      <c r="A12" s="5" t="inlineStr">
        <is>
          <t>Capacidad Maquinaria (hr)</t>
        </is>
      </c>
      <c r="B12" s="6" t="n">
        <v>180</v>
      </c>
      <c r="C12" s="6" t="n">
        <v>180</v>
      </c>
      <c r="D12" s="6" t="n">
        <v>160</v>
      </c>
      <c r="E12" s="6" t="n">
        <v>190</v>
      </c>
      <c r="F12" s="6" t="n">
        <v>130</v>
      </c>
      <c r="G12" s="6" t="n">
        <v>160</v>
      </c>
      <c r="H12" s="6" t="n">
        <v>160</v>
      </c>
      <c r="I12" s="6" t="n">
        <v>130</v>
      </c>
      <c r="J12" s="6" t="n">
        <v>140</v>
      </c>
      <c r="K12" s="6" t="n">
        <v>150</v>
      </c>
      <c r="L12" s="6" t="n">
        <v>150</v>
      </c>
      <c r="M12" s="6" t="n">
        <v>150</v>
      </c>
    </row>
    <row r="13">
      <c r="A13" s="5" t="inlineStr">
        <is>
          <t>Costo Inventario ($/unid)</t>
        </is>
      </c>
      <c r="B13" s="6" t="n">
        <v>3</v>
      </c>
      <c r="C13" s="6" t="n">
        <v>5</v>
      </c>
      <c r="D13" s="6" t="n">
        <v>2</v>
      </c>
      <c r="E13" s="6" t="n">
        <v>4</v>
      </c>
      <c r="F13" s="6" t="n">
        <v>2</v>
      </c>
      <c r="G13" s="6" t="n">
        <v>4</v>
      </c>
      <c r="H13" s="6" t="n">
        <v>2</v>
      </c>
      <c r="I13" s="6" t="n">
        <v>6</v>
      </c>
      <c r="J13" s="6" t="n">
        <v>2</v>
      </c>
      <c r="K13" s="6" t="n">
        <v>2</v>
      </c>
      <c r="L13" s="6" t="n">
        <v>4</v>
      </c>
      <c r="M13" s="6" t="n">
        <v>2</v>
      </c>
    </row>
    <row r="14">
      <c r="A14" s="5" t="inlineStr">
        <is>
          <t>Inventario Seguridad (unid)</t>
        </is>
      </c>
      <c r="B14" s="6" t="n">
        <v>6</v>
      </c>
      <c r="C14" s="6" t="n">
        <v>7</v>
      </c>
      <c r="D14" s="6" t="n">
        <v>10</v>
      </c>
      <c r="E14" s="6" t="n">
        <v>5</v>
      </c>
      <c r="F14" s="6" t="n">
        <v>10</v>
      </c>
      <c r="G14" s="6" t="n">
        <v>7</v>
      </c>
      <c r="H14" s="6" t="n">
        <v>7</v>
      </c>
      <c r="I14" s="6" t="n">
        <v>10</v>
      </c>
      <c r="J14" s="6" t="n">
        <v>5</v>
      </c>
      <c r="K14" s="6" t="n">
        <v>7</v>
      </c>
      <c r="L14" s="6" t="n">
        <v>9</v>
      </c>
      <c r="M14" s="6" t="n">
        <v>8</v>
      </c>
    </row>
    <row r="15">
      <c r="A15" s="5" t="inlineStr">
        <is>
          <t>Inventario Máximo (unid)</t>
        </is>
      </c>
      <c r="B15" s="6" t="n">
        <v>30</v>
      </c>
      <c r="C15" s="6" t="n">
        <v>30</v>
      </c>
      <c r="D15" s="6" t="n">
        <v>27</v>
      </c>
      <c r="E15" s="6" t="n">
        <v>24</v>
      </c>
      <c r="F15" s="6" t="n">
        <v>25</v>
      </c>
      <c r="G15" s="6" t="n">
        <v>21</v>
      </c>
      <c r="H15" s="6" t="n">
        <v>21</v>
      </c>
      <c r="I15" s="6" t="n">
        <v>25</v>
      </c>
      <c r="J15" s="6" t="n">
        <v>22</v>
      </c>
      <c r="K15" s="6" t="n">
        <v>25</v>
      </c>
      <c r="L15" s="6" t="n">
        <v>22</v>
      </c>
      <c r="M15" s="6" t="n">
        <v>30</v>
      </c>
    </row>
    <row r="16"/>
    <row r="17">
      <c r="A17" s="3" t="inlineStr">
        <is>
          <t>2. VARIABLES DE DECISIÓN Y PLAN DE PRODUCCIÓN</t>
        </is>
      </c>
    </row>
    <row r="18">
      <c r="A18" s="8" t="inlineStr">
        <is>
          <t>Variable / Concepto</t>
        </is>
      </c>
      <c r="B18" s="8" t="inlineStr">
        <is>
          <t>Mes 1</t>
        </is>
      </c>
      <c r="C18" s="8" t="inlineStr">
        <is>
          <t>Mes 2</t>
        </is>
      </c>
      <c r="D18" s="8" t="inlineStr">
        <is>
          <t>Mes 3</t>
        </is>
      </c>
      <c r="E18" s="8" t="inlineStr">
        <is>
          <t>Mes 4</t>
        </is>
      </c>
      <c r="F18" s="8" t="inlineStr">
        <is>
          <t>Mes 5</t>
        </is>
      </c>
      <c r="G18" s="8" t="inlineStr">
        <is>
          <t>Mes 6</t>
        </is>
      </c>
      <c r="H18" s="8" t="inlineStr">
        <is>
          <t>Mes 7</t>
        </is>
      </c>
      <c r="I18" s="8" t="inlineStr">
        <is>
          <t>Mes 8</t>
        </is>
      </c>
      <c r="J18" s="8" t="inlineStr">
        <is>
          <t>Mes 9</t>
        </is>
      </c>
      <c r="K18" s="8" t="inlineStr">
        <is>
          <t>Mes 10</t>
        </is>
      </c>
      <c r="L18" s="8" t="inlineStr">
        <is>
          <t>Mes 11</t>
        </is>
      </c>
      <c r="M18" s="8" t="inlineStr">
        <is>
          <t>Mes 12</t>
        </is>
      </c>
      <c r="N18" s="8" t="inlineStr">
        <is>
          <t>Total Anual</t>
        </is>
      </c>
    </row>
    <row r="19">
      <c r="A19" s="9" t="inlineStr">
        <is>
          <t>Producción A (X_A,t)</t>
        </is>
      </c>
      <c r="B19" s="10" t="n">
        <v>93</v>
      </c>
      <c r="C19" s="10" t="n">
        <v>30</v>
      </c>
      <c r="D19" s="10" t="n">
        <v>48</v>
      </c>
      <c r="E19" s="10" t="n">
        <v>80.78</v>
      </c>
      <c r="F19" s="10" t="n">
        <v>48.22</v>
      </c>
      <c r="G19" s="10" t="n">
        <v>48</v>
      </c>
      <c r="H19" s="10" t="n">
        <v>57</v>
      </c>
      <c r="I19" s="10" t="n">
        <v>68</v>
      </c>
      <c r="J19" s="10" t="n">
        <v>63.33</v>
      </c>
      <c r="K19" s="10" t="n">
        <v>58.86</v>
      </c>
      <c r="L19" s="10" t="n">
        <v>78.95</v>
      </c>
      <c r="M19" s="10" t="n">
        <v>30.05</v>
      </c>
      <c r="N19" s="11">
        <f>SUM(B19:M19)</f>
        <v/>
      </c>
    </row>
    <row r="20">
      <c r="A20" s="9" t="inlineStr">
        <is>
          <t>Producción B (X_B,t)</t>
        </is>
      </c>
      <c r="B20" s="10" t="n">
        <v>53</v>
      </c>
      <c r="C20" s="10" t="n">
        <v>63.16</v>
      </c>
      <c r="D20" s="10" t="n">
        <v>62.25</v>
      </c>
      <c r="E20" s="10" t="n">
        <v>54.75</v>
      </c>
      <c r="F20" s="10" t="n">
        <v>54</v>
      </c>
      <c r="G20" s="10" t="n">
        <v>56</v>
      </c>
      <c r="H20" s="10" t="n">
        <v>48</v>
      </c>
      <c r="I20" s="10" t="n">
        <v>67</v>
      </c>
      <c r="J20" s="10" t="n">
        <v>30</v>
      </c>
      <c r="K20" s="10" t="n">
        <v>88</v>
      </c>
      <c r="L20" s="10" t="n">
        <v>0</v>
      </c>
      <c r="M20" s="10" t="n">
        <v>74.95</v>
      </c>
      <c r="N20" s="11">
        <f>SUM(B20:M20)</f>
        <v/>
      </c>
    </row>
    <row r="21">
      <c r="A21" s="9" t="inlineStr">
        <is>
          <t>Ventas A (V_A,t)</t>
        </is>
      </c>
      <c r="B21" s="10" t="n">
        <v>73</v>
      </c>
      <c r="C21" s="10" t="n">
        <v>60</v>
      </c>
      <c r="D21" s="10" t="n">
        <v>48</v>
      </c>
      <c r="E21" s="10" t="n">
        <v>66</v>
      </c>
      <c r="F21" s="10" t="n">
        <v>63</v>
      </c>
      <c r="G21" s="10" t="n">
        <v>48</v>
      </c>
      <c r="H21" s="10" t="n">
        <v>57</v>
      </c>
      <c r="I21" s="10" t="n">
        <v>68</v>
      </c>
      <c r="J21" s="10" t="n">
        <v>52</v>
      </c>
      <c r="K21" s="10" t="n">
        <v>70.19</v>
      </c>
      <c r="L21" s="10" t="n">
        <v>67</v>
      </c>
      <c r="M21" s="10" t="n">
        <v>42</v>
      </c>
      <c r="N21" s="11">
        <f>SUM(B21:M21)</f>
        <v/>
      </c>
    </row>
    <row r="22">
      <c r="A22" s="9" t="inlineStr">
        <is>
          <t>Ventas B (V_B,t)</t>
        </is>
      </c>
      <c r="B22" s="10" t="n">
        <v>63</v>
      </c>
      <c r="C22" s="10" t="n">
        <v>56.16</v>
      </c>
      <c r="D22" s="10" t="n">
        <v>57</v>
      </c>
      <c r="E22" s="10" t="n">
        <v>67</v>
      </c>
      <c r="F22" s="10" t="n">
        <v>44</v>
      </c>
      <c r="G22" s="10" t="n">
        <v>59</v>
      </c>
      <c r="H22" s="10" t="n">
        <v>48</v>
      </c>
      <c r="I22" s="10" t="n">
        <v>64</v>
      </c>
      <c r="J22" s="10" t="n">
        <v>40</v>
      </c>
      <c r="K22" s="10" t="n">
        <v>63</v>
      </c>
      <c r="L22" s="10" t="n">
        <v>14.95</v>
      </c>
      <c r="M22" s="10" t="n">
        <v>77</v>
      </c>
      <c r="N22" s="11">
        <f>SUM(B22:M22)</f>
        <v/>
      </c>
    </row>
    <row r="23">
      <c r="A23" s="9" t="inlineStr">
        <is>
          <t>Inventario Final A (I_A,t)</t>
        </is>
      </c>
      <c r="B23" s="10" t="n">
        <v>30</v>
      </c>
      <c r="C23" s="10" t="n">
        <v>0</v>
      </c>
      <c r="D23" s="10" t="n">
        <v>0</v>
      </c>
      <c r="E23" s="10" t="n">
        <v>14.78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11.33</v>
      </c>
      <c r="K23" s="10" t="n">
        <v>0</v>
      </c>
      <c r="L23" s="10" t="n">
        <v>11.95</v>
      </c>
      <c r="M23" s="10" t="n">
        <v>0</v>
      </c>
      <c r="N23" s="12" t="inlineStr">
        <is>
          <t>-</t>
        </is>
      </c>
    </row>
    <row r="24">
      <c r="A24" s="9" t="inlineStr">
        <is>
          <t>Inventario Final B (I_B,t)</t>
        </is>
      </c>
      <c r="B24" s="10" t="n">
        <v>0</v>
      </c>
      <c r="C24" s="10" t="n">
        <v>7</v>
      </c>
      <c r="D24" s="10" t="n">
        <v>12.25</v>
      </c>
      <c r="E24" s="10" t="n">
        <v>0</v>
      </c>
      <c r="F24" s="10" t="n">
        <v>10</v>
      </c>
      <c r="G24" s="10" t="n">
        <v>7</v>
      </c>
      <c r="H24" s="10" t="n">
        <v>7</v>
      </c>
      <c r="I24" s="10" t="n">
        <v>10</v>
      </c>
      <c r="J24" s="10" t="n">
        <v>0</v>
      </c>
      <c r="K24" s="10" t="n">
        <v>25</v>
      </c>
      <c r="L24" s="10" t="n">
        <v>10.05</v>
      </c>
      <c r="M24" s="10" t="n">
        <v>8</v>
      </c>
      <c r="N24" s="12" t="inlineStr">
        <is>
          <t>-</t>
        </is>
      </c>
    </row>
    <row r="25">
      <c r="A25" s="9" t="inlineStr">
        <is>
          <t>Inventario Total Bodega (I_A + I_B)</t>
        </is>
      </c>
      <c r="B25" s="13" t="n">
        <v>30</v>
      </c>
      <c r="C25" s="13" t="n">
        <v>7</v>
      </c>
      <c r="D25" s="13" t="n">
        <v>12.25</v>
      </c>
      <c r="E25" s="13" t="n">
        <v>14.78</v>
      </c>
      <c r="F25" s="13" t="n">
        <v>10</v>
      </c>
      <c r="G25" s="13" t="n">
        <v>7</v>
      </c>
      <c r="H25" s="13" t="n">
        <v>7</v>
      </c>
      <c r="I25" s="13" t="n">
        <v>10</v>
      </c>
      <c r="J25" s="13" t="n">
        <v>11.33</v>
      </c>
      <c r="K25" s="13" t="n">
        <v>25</v>
      </c>
      <c r="L25" s="13" t="n">
        <v>22</v>
      </c>
      <c r="M25" s="13" t="n">
        <v>8</v>
      </c>
      <c r="N25" s="12" t="inlineStr">
        <is>
          <t>-</t>
        </is>
      </c>
    </row>
    <row r="26"/>
    <row r="27">
      <c r="A27" s="3" t="inlineStr">
        <is>
          <t>3. VERIFICACIÓN DE RESTRICCIONES (HOLGURAS)</t>
        </is>
      </c>
    </row>
    <row r="28">
      <c r="A28" s="8" t="inlineStr">
        <is>
          <t>Restricción / Condición</t>
        </is>
      </c>
      <c r="B28" s="8" t="inlineStr">
        <is>
          <t>Mes 1</t>
        </is>
      </c>
      <c r="C28" s="8" t="inlineStr">
        <is>
          <t>Mes 2</t>
        </is>
      </c>
      <c r="D28" s="8" t="inlineStr">
        <is>
          <t>Mes 3</t>
        </is>
      </c>
      <c r="E28" s="8" t="inlineStr">
        <is>
          <t>Mes 4</t>
        </is>
      </c>
      <c r="F28" s="8" t="inlineStr">
        <is>
          <t>Mes 5</t>
        </is>
      </c>
      <c r="G28" s="8" t="inlineStr">
        <is>
          <t>Mes 6</t>
        </is>
      </c>
      <c r="H28" s="8" t="inlineStr">
        <is>
          <t>Mes 7</t>
        </is>
      </c>
      <c r="I28" s="8" t="inlineStr">
        <is>
          <t>Mes 8</t>
        </is>
      </c>
      <c r="J28" s="8" t="inlineStr">
        <is>
          <t>Mes 9</t>
        </is>
      </c>
      <c r="K28" s="8" t="inlineStr">
        <is>
          <t>Mes 10</t>
        </is>
      </c>
      <c r="L28" s="8" t="inlineStr">
        <is>
          <t>Mes 11</t>
        </is>
      </c>
      <c r="M28" s="8" t="inlineStr">
        <is>
          <t>Mes 12</t>
        </is>
      </c>
    </row>
    <row r="29">
      <c r="A29" s="9" t="inlineStr">
        <is>
          <t>Horas Máquina Usadas</t>
        </is>
      </c>
      <c r="B29" s="10" t="n">
        <v>19.9</v>
      </c>
      <c r="C29" s="10" t="n">
        <v>180</v>
      </c>
      <c r="D29" s="10" t="n">
        <v>86.78</v>
      </c>
      <c r="E29" s="10" t="n">
        <v>190</v>
      </c>
      <c r="F29" s="10" t="n">
        <v>130</v>
      </c>
      <c r="G29" s="10" t="n">
        <v>123.2</v>
      </c>
      <c r="H29" s="10" t="n">
        <v>93.59999999999999</v>
      </c>
      <c r="I29" s="10" t="n">
        <v>67.40000000000001</v>
      </c>
      <c r="J29" s="10" t="n">
        <v>140</v>
      </c>
      <c r="K29" s="10" t="n">
        <v>150</v>
      </c>
      <c r="L29" s="10" t="n">
        <v>150</v>
      </c>
      <c r="M29" s="10" t="n">
        <v>150</v>
      </c>
    </row>
    <row r="30">
      <c r="A30" s="9" t="inlineStr">
        <is>
          <t>Capacidad Máquina Disponible</t>
        </is>
      </c>
      <c r="B30" s="10" t="n">
        <v>180</v>
      </c>
      <c r="C30" s="10" t="n">
        <v>180</v>
      </c>
      <c r="D30" s="10" t="n">
        <v>160</v>
      </c>
      <c r="E30" s="10" t="n">
        <v>190</v>
      </c>
      <c r="F30" s="10" t="n">
        <v>130</v>
      </c>
      <c r="G30" s="10" t="n">
        <v>160</v>
      </c>
      <c r="H30" s="10" t="n">
        <v>160</v>
      </c>
      <c r="I30" s="10" t="n">
        <v>130</v>
      </c>
      <c r="J30" s="10" t="n">
        <v>140</v>
      </c>
      <c r="K30" s="10" t="n">
        <v>150</v>
      </c>
      <c r="L30" s="10" t="n">
        <v>150</v>
      </c>
      <c r="M30" s="10" t="n">
        <v>150</v>
      </c>
    </row>
    <row r="31">
      <c r="A31" s="9" t="inlineStr">
        <is>
          <t>Holgura Maquinaria (Cap - Usadas)</t>
        </is>
      </c>
      <c r="B31" s="10" t="n">
        <v>160.1</v>
      </c>
      <c r="C31" s="14" t="n">
        <v>0</v>
      </c>
      <c r="D31" s="10" t="n">
        <v>73.22</v>
      </c>
      <c r="E31" s="14" t="n">
        <v>0</v>
      </c>
      <c r="F31" s="14" t="n">
        <v>0</v>
      </c>
      <c r="G31" s="10" t="n">
        <v>36.8</v>
      </c>
      <c r="H31" s="10" t="n">
        <v>66.40000000000001</v>
      </c>
      <c r="I31" s="10" t="n">
        <v>62.6</v>
      </c>
      <c r="J31" s="14" t="n">
        <v>0</v>
      </c>
      <c r="K31" s="14" t="n">
        <v>0</v>
      </c>
      <c r="L31" s="14" t="n">
        <v>0</v>
      </c>
      <c r="M31" s="14" t="n">
        <v>0</v>
      </c>
    </row>
    <row r="32">
      <c r="A32" s="9" t="inlineStr">
        <is>
          <t>Inventario Total Bodega</t>
        </is>
      </c>
      <c r="B32" s="10" t="n">
        <v>30</v>
      </c>
      <c r="C32" s="10" t="n">
        <v>7</v>
      </c>
      <c r="D32" s="10" t="n">
        <v>12.25</v>
      </c>
      <c r="E32" s="10" t="n">
        <v>14.78</v>
      </c>
      <c r="F32" s="10" t="n">
        <v>10</v>
      </c>
      <c r="G32" s="10" t="n">
        <v>7</v>
      </c>
      <c r="H32" s="10" t="n">
        <v>7</v>
      </c>
      <c r="I32" s="10" t="n">
        <v>10</v>
      </c>
      <c r="J32" s="10" t="n">
        <v>11.33</v>
      </c>
      <c r="K32" s="10" t="n">
        <v>25</v>
      </c>
      <c r="L32" s="10" t="n">
        <v>22</v>
      </c>
      <c r="M32" s="10" t="n">
        <v>8</v>
      </c>
    </row>
    <row r="33">
      <c r="A33" s="9" t="inlineStr">
        <is>
          <t>Inventario de Seguridad (Mínimo)</t>
        </is>
      </c>
      <c r="B33" s="10" t="n">
        <v>6</v>
      </c>
      <c r="C33" s="10" t="n">
        <v>7</v>
      </c>
      <c r="D33" s="10" t="n">
        <v>10</v>
      </c>
      <c r="E33" s="10" t="n">
        <v>5</v>
      </c>
      <c r="F33" s="10" t="n">
        <v>10</v>
      </c>
      <c r="G33" s="10" t="n">
        <v>7</v>
      </c>
      <c r="H33" s="10" t="n">
        <v>7</v>
      </c>
      <c r="I33" s="10" t="n">
        <v>10</v>
      </c>
      <c r="J33" s="10" t="n">
        <v>5</v>
      </c>
      <c r="K33" s="10" t="n">
        <v>7</v>
      </c>
      <c r="L33" s="10" t="n">
        <v>9</v>
      </c>
      <c r="M33" s="10" t="n">
        <v>8</v>
      </c>
    </row>
    <row r="34">
      <c r="A34" s="9" t="inlineStr">
        <is>
          <t>Inventario Máximo Bodega</t>
        </is>
      </c>
      <c r="B34" s="10" t="n">
        <v>30</v>
      </c>
      <c r="C34" s="10" t="n">
        <v>30</v>
      </c>
      <c r="D34" s="10" t="n">
        <v>27</v>
      </c>
      <c r="E34" s="10" t="n">
        <v>24</v>
      </c>
      <c r="F34" s="10" t="n">
        <v>25</v>
      </c>
      <c r="G34" s="10" t="n">
        <v>21</v>
      </c>
      <c r="H34" s="10" t="n">
        <v>21</v>
      </c>
      <c r="I34" s="10" t="n">
        <v>25</v>
      </c>
      <c r="J34" s="10" t="n">
        <v>22</v>
      </c>
      <c r="K34" s="10" t="n">
        <v>25</v>
      </c>
      <c r="L34" s="10" t="n">
        <v>22</v>
      </c>
      <c r="M34" s="10" t="n">
        <v>30</v>
      </c>
    </row>
    <row r="35"/>
    <row r="36"/>
    <row r="37">
      <c r="A37" s="3" t="inlineStr">
        <is>
          <t>4. ESTADO DE RESULTADOS - EVALUACIÓN FINANCIERA</t>
        </is>
      </c>
    </row>
    <row r="38">
      <c r="A38" s="4" t="inlineStr">
        <is>
          <t>Concepto Financiero</t>
        </is>
      </c>
      <c r="B38" s="4" t="inlineStr">
        <is>
          <t>Mes 1</t>
        </is>
      </c>
      <c r="C38" s="4" t="inlineStr">
        <is>
          <t>Mes 2</t>
        </is>
      </c>
      <c r="D38" s="4" t="inlineStr">
        <is>
          <t>Mes 3</t>
        </is>
      </c>
      <c r="E38" s="4" t="inlineStr">
        <is>
          <t>Mes 4</t>
        </is>
      </c>
      <c r="F38" s="4" t="inlineStr">
        <is>
          <t>Mes 5</t>
        </is>
      </c>
      <c r="G38" s="4" t="inlineStr">
        <is>
          <t>Mes 6</t>
        </is>
      </c>
      <c r="H38" s="4" t="inlineStr">
        <is>
          <t>Mes 7</t>
        </is>
      </c>
      <c r="I38" s="4" t="inlineStr">
        <is>
          <t>Mes 8</t>
        </is>
      </c>
      <c r="J38" s="4" t="inlineStr">
        <is>
          <t>Mes 9</t>
        </is>
      </c>
      <c r="K38" s="4" t="inlineStr">
        <is>
          <t>Mes 10</t>
        </is>
      </c>
      <c r="L38" s="4" t="inlineStr">
        <is>
          <t>Mes 11</t>
        </is>
      </c>
      <c r="M38" s="4" t="inlineStr">
        <is>
          <t>Mes 12</t>
        </is>
      </c>
      <c r="N38" s="4" t="inlineStr">
        <is>
          <t>Total Anual</t>
        </is>
      </c>
    </row>
    <row r="39">
      <c r="A39" s="9" t="inlineStr">
        <is>
          <t>Ingresos Venta Producto A ($)</t>
        </is>
      </c>
      <c r="B39" s="15" t="n">
        <v>584</v>
      </c>
      <c r="C39" s="15" t="n">
        <v>1320</v>
      </c>
      <c r="D39" s="15" t="n">
        <v>288</v>
      </c>
      <c r="E39" s="15" t="n">
        <v>2112</v>
      </c>
      <c r="F39" s="15" t="n">
        <v>1764</v>
      </c>
      <c r="G39" s="15" t="n">
        <v>672</v>
      </c>
      <c r="H39" s="15" t="n">
        <v>1140</v>
      </c>
      <c r="I39" s="15" t="n">
        <v>2448</v>
      </c>
      <c r="J39" s="15" t="n">
        <v>520</v>
      </c>
      <c r="K39" s="15" t="n">
        <v>421.14</v>
      </c>
      <c r="L39" s="15" t="n">
        <v>2680</v>
      </c>
      <c r="M39" s="15" t="n">
        <v>923.92</v>
      </c>
      <c r="N39" s="16">
        <f>SUM(B39:M39)</f>
        <v/>
      </c>
    </row>
    <row r="40">
      <c r="A40" s="9" t="inlineStr">
        <is>
          <t>Ingresos Venta Producto B ($)</t>
        </is>
      </c>
      <c r="B40" s="15" t="n">
        <v>1260</v>
      </c>
      <c r="C40" s="15" t="n">
        <v>898.53</v>
      </c>
      <c r="D40" s="15" t="n">
        <v>1140</v>
      </c>
      <c r="E40" s="15" t="n">
        <v>402</v>
      </c>
      <c r="F40" s="15" t="n">
        <v>880</v>
      </c>
      <c r="G40" s="15" t="n">
        <v>1711</v>
      </c>
      <c r="H40" s="15" t="n">
        <v>384</v>
      </c>
      <c r="I40" s="15" t="n">
        <v>1920</v>
      </c>
      <c r="J40" s="15" t="n">
        <v>240</v>
      </c>
      <c r="K40" s="15" t="n">
        <v>504</v>
      </c>
      <c r="L40" s="15" t="n">
        <v>89.68000000000001</v>
      </c>
      <c r="M40" s="15" t="n">
        <v>2156</v>
      </c>
      <c r="N40" s="16">
        <f>SUM(B40:M40)</f>
        <v/>
      </c>
    </row>
    <row r="41">
      <c r="A41" s="9" t="inlineStr">
        <is>
          <t>Ingresos Totales ($)</t>
        </is>
      </c>
      <c r="B41" s="16" t="n">
        <v>1844</v>
      </c>
      <c r="C41" s="16" t="n">
        <v>2218.53</v>
      </c>
      <c r="D41" s="16" t="n">
        <v>1428</v>
      </c>
      <c r="E41" s="16" t="n">
        <v>2514</v>
      </c>
      <c r="F41" s="16" t="n">
        <v>2644</v>
      </c>
      <c r="G41" s="16" t="n">
        <v>2383</v>
      </c>
      <c r="H41" s="16" t="n">
        <v>1524</v>
      </c>
      <c r="I41" s="16" t="n">
        <v>4368</v>
      </c>
      <c r="J41" s="16" t="n">
        <v>760</v>
      </c>
      <c r="K41" s="16" t="n">
        <v>925.14</v>
      </c>
      <c r="L41" s="16" t="n">
        <v>2769.68</v>
      </c>
      <c r="M41" s="16" t="n">
        <v>3079.92</v>
      </c>
      <c r="N41" s="16">
        <f>SUM(B41:M41)</f>
        <v/>
      </c>
    </row>
    <row r="42">
      <c r="A42" s="9" t="inlineStr">
        <is>
          <t>Costo de Almacenamiento Inventario ($)</t>
        </is>
      </c>
      <c r="B42" s="15" t="n">
        <v>90</v>
      </c>
      <c r="C42" s="15" t="n">
        <v>35</v>
      </c>
      <c r="D42" s="15" t="n">
        <v>24.51</v>
      </c>
      <c r="E42" s="15" t="n">
        <v>59.11</v>
      </c>
      <c r="F42" s="15" t="n">
        <v>20</v>
      </c>
      <c r="G42" s="15" t="n">
        <v>28</v>
      </c>
      <c r="H42" s="15" t="n">
        <v>14</v>
      </c>
      <c r="I42" s="15" t="n">
        <v>60</v>
      </c>
      <c r="J42" s="15" t="n">
        <v>22.67</v>
      </c>
      <c r="K42" s="15" t="n">
        <v>50</v>
      </c>
      <c r="L42" s="15" t="n">
        <v>88</v>
      </c>
      <c r="M42" s="15" t="n">
        <v>16</v>
      </c>
      <c r="N42" s="16">
        <f>SUM(B42:M42)</f>
        <v/>
      </c>
    </row>
    <row r="43">
      <c r="A43" s="9" t="inlineStr">
        <is>
          <t>UTILIDAD NETA ($)</t>
        </is>
      </c>
      <c r="B43" s="17" t="n">
        <v>1754</v>
      </c>
      <c r="C43" s="17" t="n">
        <v>2183.53</v>
      </c>
      <c r="D43" s="17" t="n">
        <v>1403.49</v>
      </c>
      <c r="E43" s="17" t="n">
        <v>2454.89</v>
      </c>
      <c r="F43" s="17" t="n">
        <v>2624</v>
      </c>
      <c r="G43" s="17" t="n">
        <v>2355</v>
      </c>
      <c r="H43" s="17" t="n">
        <v>1510</v>
      </c>
      <c r="I43" s="17" t="n">
        <v>4308</v>
      </c>
      <c r="J43" s="17" t="n">
        <v>737.33</v>
      </c>
      <c r="K43" s="17" t="n">
        <v>875.14</v>
      </c>
      <c r="L43" s="17" t="n">
        <v>2681.68</v>
      </c>
      <c r="M43" s="17" t="n">
        <v>3063.92</v>
      </c>
      <c r="N43" s="17">
        <f>SUM(B43:M43)</f>
        <v/>
      </c>
    </row>
    <row r="44"/>
    <row r="45"/>
    <row r="46">
      <c r="A46" s="3" t="inlineStr">
        <is>
          <t>PARÁMETROS PARA SOLVER DE EXCEL (PARTE 1):</t>
        </is>
      </c>
    </row>
    <row r="47">
      <c r="A47" s="18" t="inlineStr">
        <is>
          <t>• Objetivo a Establecer: N39 (Utilidad Neta Total Anual) -&gt; Maximizar</t>
        </is>
      </c>
    </row>
    <row r="48">
      <c r="A48" s="18" t="inlineStr">
        <is>
          <t>• Cambiando las celdas de variables: B19:M24 (X_A, X_B, V_A, V_B, I_A, I_B)</t>
        </is>
      </c>
    </row>
    <row r="49">
      <c r="A49" s="18" t="inlineStr">
        <is>
          <t>• Sujeto a las restricciones:</t>
        </is>
      </c>
    </row>
    <row r="50">
      <c r="A50" s="18" t="inlineStr">
        <is>
          <t xml:space="preserve">   - Balance de Inventario: I_p,t = I_p,t-1 + X_p,t - V_p,t (con I_p,0 = 10)</t>
        </is>
      </c>
    </row>
    <row r="51">
      <c r="A51" s="18" t="inlineStr">
        <is>
          <t xml:space="preserve">   - Cota de Demanda: V_A,t &lt;= Demanda_A,t ; V_B,t &lt;= Demanda_B,t (¡Como MENOR O IGUAL, no igualdad!)</t>
        </is>
      </c>
    </row>
    <row r="52">
      <c r="A52" s="18" t="inlineStr">
        <is>
          <t xml:space="preserve">   - Capacidad Maquinaria: Horas_Uso,t &lt;= Capacidad,t</t>
        </is>
      </c>
    </row>
    <row r="53">
      <c r="A53" s="18" t="inlineStr">
        <is>
          <t xml:space="preserve">   - Inventario Bodega: I_Total,t &lt;= Inv_Max,t ; I_Total,t &gt;= Inv_Seg,t</t>
        </is>
      </c>
    </row>
    <row r="54">
      <c r="A54" s="18" t="inlineStr">
        <is>
          <t xml:space="preserve">   - No Negatividad: Variables &gt;= 0 (Marcar casilla "Convertir variables sin restricciones en no negativas")</t>
        </is>
      </c>
    </row>
    <row r="55">
      <c r="A55" s="18" t="inlineStr">
        <is>
          <t>• Método de Resolución: Simplex 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</cols>
  <sheetData>
    <row r="1">
      <c r="A1" s="1" t="inlineStr">
        <is>
          <t>TAREA COMPUTACIONAL 1 - OPTIMIZACIÓN</t>
        </is>
      </c>
    </row>
    <row r="2">
      <c r="A2" s="2" t="inlineStr">
        <is>
          <t>Parte 2: Planificación Integrada de la Producción y Recursos Humanos</t>
        </is>
      </c>
    </row>
    <row r="3"/>
    <row r="4">
      <c r="A4" s="3" t="inlineStr">
        <is>
          <t>1. PARÁMETROS DEL PROBLEMA Y COSTOS DE RRHH</t>
        </is>
      </c>
    </row>
    <row r="5">
      <c r="A5" s="4" t="inlineStr">
        <is>
          <t>Parámetro / Mes</t>
        </is>
      </c>
      <c r="B5" s="4" t="inlineStr">
        <is>
          <t>Mes 1</t>
        </is>
      </c>
      <c r="C5" s="4" t="inlineStr">
        <is>
          <t>Mes 2</t>
        </is>
      </c>
      <c r="D5" s="4" t="inlineStr">
        <is>
          <t>Mes 3</t>
        </is>
      </c>
      <c r="E5" s="4" t="inlineStr">
        <is>
          <t>Mes 4</t>
        </is>
      </c>
      <c r="F5" s="4" t="inlineStr">
        <is>
          <t>Mes 5</t>
        </is>
      </c>
      <c r="G5" s="4" t="inlineStr">
        <is>
          <t>Mes 6</t>
        </is>
      </c>
      <c r="H5" s="4" t="inlineStr">
        <is>
          <t>Mes 7</t>
        </is>
      </c>
      <c r="I5" s="4" t="inlineStr">
        <is>
          <t>Mes 8</t>
        </is>
      </c>
      <c r="J5" s="4" t="inlineStr">
        <is>
          <t>Mes 9</t>
        </is>
      </c>
      <c r="K5" s="4" t="inlineStr">
        <is>
          <t>Mes 10</t>
        </is>
      </c>
      <c r="L5" s="4" t="inlineStr">
        <is>
          <t>Mes 11</t>
        </is>
      </c>
      <c r="M5" s="4" t="inlineStr">
        <is>
          <t>Mes 12</t>
        </is>
      </c>
    </row>
    <row r="6">
      <c r="A6" s="5" t="inlineStr">
        <is>
          <t>Demanda Máx A (unid)</t>
        </is>
      </c>
      <c r="B6" s="6" t="n">
        <v>73</v>
      </c>
      <c r="C6" s="6" t="n">
        <v>60</v>
      </c>
      <c r="D6" s="6" t="n">
        <v>48</v>
      </c>
      <c r="E6" s="6" t="n">
        <v>66</v>
      </c>
      <c r="F6" s="6" t="n">
        <v>63</v>
      </c>
      <c r="G6" s="6" t="n">
        <v>48</v>
      </c>
      <c r="H6" s="6" t="n">
        <v>57</v>
      </c>
      <c r="I6" s="6" t="n">
        <v>68</v>
      </c>
      <c r="J6" s="6" t="n">
        <v>52</v>
      </c>
      <c r="K6" s="6" t="n">
        <v>76</v>
      </c>
      <c r="L6" s="6" t="n">
        <v>67</v>
      </c>
      <c r="M6" s="6" t="n">
        <v>76</v>
      </c>
    </row>
    <row r="7">
      <c r="A7" s="5" t="inlineStr">
        <is>
          <t>Demanda Máx B (unid)</t>
        </is>
      </c>
      <c r="B7" s="6" t="n">
        <v>63</v>
      </c>
      <c r="C7" s="6" t="n">
        <v>72</v>
      </c>
      <c r="D7" s="6" t="n">
        <v>57</v>
      </c>
      <c r="E7" s="6" t="n">
        <v>67</v>
      </c>
      <c r="F7" s="6" t="n">
        <v>44</v>
      </c>
      <c r="G7" s="6" t="n">
        <v>59</v>
      </c>
      <c r="H7" s="6" t="n">
        <v>48</v>
      </c>
      <c r="I7" s="6" t="n">
        <v>64</v>
      </c>
      <c r="J7" s="6" t="n">
        <v>40</v>
      </c>
      <c r="K7" s="6" t="n">
        <v>63</v>
      </c>
      <c r="L7" s="6" t="n">
        <v>64</v>
      </c>
      <c r="M7" s="6" t="n">
        <v>77</v>
      </c>
    </row>
    <row r="8">
      <c r="A8" s="5" t="inlineStr">
        <is>
          <t>Utilidad Venta A ($/unid)</t>
        </is>
      </c>
      <c r="B8" s="6" t="n">
        <v>8</v>
      </c>
      <c r="C8" s="6" t="n">
        <v>22</v>
      </c>
      <c r="D8" s="6" t="n">
        <v>6</v>
      </c>
      <c r="E8" s="6" t="n">
        <v>32</v>
      </c>
      <c r="F8" s="6" t="n">
        <v>28</v>
      </c>
      <c r="G8" s="6" t="n">
        <v>14</v>
      </c>
      <c r="H8" s="6" t="n">
        <v>20</v>
      </c>
      <c r="I8" s="6" t="n">
        <v>36</v>
      </c>
      <c r="J8" s="6" t="n">
        <v>10</v>
      </c>
      <c r="K8" s="6" t="n">
        <v>6</v>
      </c>
      <c r="L8" s="6" t="n">
        <v>40</v>
      </c>
      <c r="M8" s="6" t="n">
        <v>22</v>
      </c>
    </row>
    <row r="9">
      <c r="A9" s="5" t="inlineStr">
        <is>
          <t>Utilidad Venta B ($/unid)</t>
        </is>
      </c>
      <c r="B9" s="6" t="n">
        <v>20</v>
      </c>
      <c r="C9" s="6" t="n">
        <v>16</v>
      </c>
      <c r="D9" s="6" t="n">
        <v>20</v>
      </c>
      <c r="E9" s="6" t="n">
        <v>6</v>
      </c>
      <c r="F9" s="6" t="n">
        <v>20</v>
      </c>
      <c r="G9" s="6" t="n">
        <v>29</v>
      </c>
      <c r="H9" s="6" t="n">
        <v>8</v>
      </c>
      <c r="I9" s="6" t="n">
        <v>30</v>
      </c>
      <c r="J9" s="6" t="n">
        <v>6</v>
      </c>
      <c r="K9" s="6" t="n">
        <v>8</v>
      </c>
      <c r="L9" s="6" t="n">
        <v>6</v>
      </c>
      <c r="M9" s="6" t="n">
        <v>28</v>
      </c>
    </row>
    <row r="10">
      <c r="A10" s="5" t="inlineStr">
        <is>
          <t>Horas Máq A (hr/unid)</t>
        </is>
      </c>
      <c r="B10" s="10" t="n">
        <v>0.1</v>
      </c>
      <c r="C10" s="6" t="n">
        <v>2</v>
      </c>
      <c r="D10" s="10" t="n">
        <v>0.9</v>
      </c>
      <c r="E10" s="10" t="n">
        <v>1.2</v>
      </c>
      <c r="F10" s="10" t="n">
        <v>1.8</v>
      </c>
      <c r="G10" s="10" t="n">
        <v>0.7</v>
      </c>
      <c r="H10" s="10" t="n">
        <v>0.8</v>
      </c>
      <c r="I10" s="10" t="n">
        <v>0.4</v>
      </c>
      <c r="J10" s="10" t="n">
        <v>1.5</v>
      </c>
      <c r="K10" s="10" t="n">
        <v>2.1</v>
      </c>
      <c r="L10" s="10" t="n">
        <v>1.9</v>
      </c>
      <c r="M10" s="10" t="n">
        <v>1.5</v>
      </c>
    </row>
    <row r="11">
      <c r="A11" s="5" t="inlineStr">
        <is>
          <t>Horas Máq B (hr/unid)</t>
        </is>
      </c>
      <c r="B11" s="10" t="n">
        <v>0.2</v>
      </c>
      <c r="C11" s="10" t="n">
        <v>1.9</v>
      </c>
      <c r="D11" s="10" t="n">
        <v>0.7</v>
      </c>
      <c r="E11" s="10" t="n">
        <v>1.7</v>
      </c>
      <c r="F11" s="10" t="n">
        <v>0.8</v>
      </c>
      <c r="G11" s="10" t="n">
        <v>1.6</v>
      </c>
      <c r="H11" s="6" t="n">
        <v>1</v>
      </c>
      <c r="I11" s="10" t="n">
        <v>0.6</v>
      </c>
      <c r="J11" s="10" t="n">
        <v>1.5</v>
      </c>
      <c r="K11" s="10" t="n">
        <v>0.3</v>
      </c>
      <c r="L11" s="6" t="n">
        <v>2</v>
      </c>
      <c r="M11" s="10" t="n">
        <v>1.4</v>
      </c>
    </row>
    <row r="12">
      <c r="A12" s="5" t="inlineStr">
        <is>
          <t>Capacidad Maquinaria (hr)</t>
        </is>
      </c>
      <c r="B12" s="6" t="n">
        <v>180</v>
      </c>
      <c r="C12" s="6" t="n">
        <v>180</v>
      </c>
      <c r="D12" s="6" t="n">
        <v>160</v>
      </c>
      <c r="E12" s="6" t="n">
        <v>190</v>
      </c>
      <c r="F12" s="6" t="n">
        <v>130</v>
      </c>
      <c r="G12" s="6" t="n">
        <v>160</v>
      </c>
      <c r="H12" s="6" t="n">
        <v>160</v>
      </c>
      <c r="I12" s="6" t="n">
        <v>130</v>
      </c>
      <c r="J12" s="6" t="n">
        <v>140</v>
      </c>
      <c r="K12" s="6" t="n">
        <v>150</v>
      </c>
      <c r="L12" s="6" t="n">
        <v>150</v>
      </c>
      <c r="M12" s="6" t="n">
        <v>150</v>
      </c>
    </row>
    <row r="13">
      <c r="A13" s="5" t="inlineStr">
        <is>
          <t>Costo Inventario ($/unid)</t>
        </is>
      </c>
      <c r="B13" s="6" t="n">
        <v>3</v>
      </c>
      <c r="C13" s="6" t="n">
        <v>5</v>
      </c>
      <c r="D13" s="6" t="n">
        <v>2</v>
      </c>
      <c r="E13" s="6" t="n">
        <v>4</v>
      </c>
      <c r="F13" s="6" t="n">
        <v>2</v>
      </c>
      <c r="G13" s="6" t="n">
        <v>4</v>
      </c>
      <c r="H13" s="6" t="n">
        <v>2</v>
      </c>
      <c r="I13" s="6" t="n">
        <v>6</v>
      </c>
      <c r="J13" s="6" t="n">
        <v>2</v>
      </c>
      <c r="K13" s="6" t="n">
        <v>2</v>
      </c>
      <c r="L13" s="6" t="n">
        <v>4</v>
      </c>
      <c r="M13" s="6" t="n">
        <v>2</v>
      </c>
    </row>
    <row r="14">
      <c r="A14" s="5" t="inlineStr">
        <is>
          <t>Inventario Seguridad (unid)</t>
        </is>
      </c>
      <c r="B14" s="6" t="n">
        <v>6</v>
      </c>
      <c r="C14" s="6" t="n">
        <v>7</v>
      </c>
      <c r="D14" s="6" t="n">
        <v>10</v>
      </c>
      <c r="E14" s="6" t="n">
        <v>5</v>
      </c>
      <c r="F14" s="6" t="n">
        <v>10</v>
      </c>
      <c r="G14" s="6" t="n">
        <v>7</v>
      </c>
      <c r="H14" s="6" t="n">
        <v>7</v>
      </c>
      <c r="I14" s="6" t="n">
        <v>10</v>
      </c>
      <c r="J14" s="6" t="n">
        <v>5</v>
      </c>
      <c r="K14" s="6" t="n">
        <v>7</v>
      </c>
      <c r="L14" s="6" t="n">
        <v>9</v>
      </c>
      <c r="M14" s="6" t="n">
        <v>8</v>
      </c>
    </row>
    <row r="15">
      <c r="A15" s="5" t="inlineStr">
        <is>
          <t>Inventario Máximo (unid)</t>
        </is>
      </c>
      <c r="B15" s="6" t="n">
        <v>30</v>
      </c>
      <c r="C15" s="6" t="n">
        <v>30</v>
      </c>
      <c r="D15" s="6" t="n">
        <v>27</v>
      </c>
      <c r="E15" s="6" t="n">
        <v>24</v>
      </c>
      <c r="F15" s="6" t="n">
        <v>25</v>
      </c>
      <c r="G15" s="6" t="n">
        <v>21</v>
      </c>
      <c r="H15" s="6" t="n">
        <v>21</v>
      </c>
      <c r="I15" s="6" t="n">
        <v>25</v>
      </c>
      <c r="J15" s="6" t="n">
        <v>22</v>
      </c>
      <c r="K15" s="6" t="n">
        <v>25</v>
      </c>
      <c r="L15" s="6" t="n">
        <v>22</v>
      </c>
      <c r="M15" s="6" t="n">
        <v>30</v>
      </c>
    </row>
    <row r="16">
      <c r="A16" s="5" t="inlineStr">
        <is>
          <t>Costo Horario Regular ($/hh)</t>
        </is>
      </c>
      <c r="B16" s="10" t="n">
        <v>2.8</v>
      </c>
      <c r="C16" s="10" t="n">
        <v>0.6</v>
      </c>
      <c r="D16" s="10" t="n">
        <v>2.8</v>
      </c>
      <c r="E16" s="6" t="n">
        <v>1</v>
      </c>
      <c r="F16" s="10" t="n">
        <v>2.5</v>
      </c>
      <c r="G16" s="10" t="n">
        <v>0.8</v>
      </c>
      <c r="H16" s="10" t="n">
        <v>1.4</v>
      </c>
      <c r="I16" s="10" t="n">
        <v>1.5</v>
      </c>
      <c r="J16" s="10" t="n">
        <v>3.6</v>
      </c>
      <c r="K16" s="10" t="n">
        <v>3.2</v>
      </c>
      <c r="L16" s="10" t="n">
        <v>4.2</v>
      </c>
      <c r="M16" s="10" t="n">
        <v>2.6</v>
      </c>
    </row>
    <row r="17">
      <c r="A17" s="5" t="inlineStr">
        <is>
          <t>Costo Horas Extras ($/hh)</t>
        </is>
      </c>
      <c r="B17" s="10" t="n">
        <v>3.4</v>
      </c>
      <c r="C17" s="10" t="n">
        <v>0.9</v>
      </c>
      <c r="D17" s="10" t="n">
        <v>3.4</v>
      </c>
      <c r="E17" s="6" t="n">
        <v>2</v>
      </c>
      <c r="F17" s="10" t="n">
        <v>3.2</v>
      </c>
      <c r="G17" s="10" t="n">
        <v>1.3</v>
      </c>
      <c r="H17" s="10" t="n">
        <v>2.5</v>
      </c>
      <c r="I17" s="10" t="n">
        <v>2.2</v>
      </c>
      <c r="J17" s="6" t="n">
        <v>4</v>
      </c>
      <c r="K17" s="10" t="n">
        <v>4.1</v>
      </c>
      <c r="L17" s="10" t="n">
        <v>5.2</v>
      </c>
      <c r="M17" s="10" t="n">
        <v>3.7</v>
      </c>
    </row>
    <row r="18">
      <c r="A18" s="5" t="inlineStr">
        <is>
          <t>Costo Contratación ($/hh)</t>
        </is>
      </c>
      <c r="B18" s="10" t="n">
        <v>0.8</v>
      </c>
      <c r="C18" s="10" t="n">
        <v>0.4</v>
      </c>
      <c r="D18" s="10" t="n">
        <v>0.9</v>
      </c>
      <c r="E18" s="10" t="n">
        <v>0.3</v>
      </c>
      <c r="F18" s="10" t="n">
        <v>0.3</v>
      </c>
      <c r="G18" s="10" t="n">
        <v>0.4</v>
      </c>
      <c r="H18" s="10" t="n">
        <v>1.2</v>
      </c>
      <c r="I18" s="10" t="n">
        <v>0.2</v>
      </c>
      <c r="J18" s="10" t="n">
        <v>0.7</v>
      </c>
      <c r="K18" s="10" t="n">
        <v>0.3</v>
      </c>
      <c r="L18" s="10" t="n">
        <v>1.2</v>
      </c>
      <c r="M18" s="10" t="n">
        <v>1.1</v>
      </c>
    </row>
    <row r="19">
      <c r="A19" s="5" t="inlineStr">
        <is>
          <t>Costo Despido ($/hh)</t>
        </is>
      </c>
      <c r="B19" s="6" t="n">
        <v>2</v>
      </c>
      <c r="C19" s="6" t="n">
        <v>1</v>
      </c>
      <c r="D19" s="6" t="n">
        <v>1</v>
      </c>
      <c r="E19" s="6" t="n">
        <v>1</v>
      </c>
      <c r="F19" s="6" t="n">
        <v>1</v>
      </c>
      <c r="G19" s="10" t="n">
        <v>0.5</v>
      </c>
      <c r="H19" s="10" t="n">
        <v>0.5</v>
      </c>
      <c r="I19" s="10" t="n">
        <v>0.5</v>
      </c>
      <c r="J19" s="6" t="n">
        <v>1</v>
      </c>
      <c r="K19" s="6" t="n">
        <v>1</v>
      </c>
      <c r="L19" s="6" t="n">
        <v>1</v>
      </c>
      <c r="M19" s="6" t="n">
        <v>1</v>
      </c>
    </row>
    <row r="20">
      <c r="A20" s="5" t="inlineStr">
        <is>
          <t>Dotación Inicial (hh)</t>
        </is>
      </c>
      <c r="B20" s="6" t="n">
        <v>300</v>
      </c>
      <c r="C20" s="19" t="inlineStr">
        <is>
          <t>-</t>
        </is>
      </c>
      <c r="D20" s="19" t="inlineStr">
        <is>
          <t>-</t>
        </is>
      </c>
      <c r="E20" s="19" t="inlineStr">
        <is>
          <t>-</t>
        </is>
      </c>
      <c r="F20" s="19" t="inlineStr">
        <is>
          <t>-</t>
        </is>
      </c>
      <c r="G20" s="19" t="inlineStr">
        <is>
          <t>-</t>
        </is>
      </c>
      <c r="H20" s="19" t="inlineStr">
        <is>
          <t>-</t>
        </is>
      </c>
      <c r="I20" s="19" t="inlineStr">
        <is>
          <t>-</t>
        </is>
      </c>
      <c r="J20" s="19" t="inlineStr">
        <is>
          <t>-</t>
        </is>
      </c>
      <c r="K20" s="19" t="inlineStr">
        <is>
          <t>-</t>
        </is>
      </c>
      <c r="L20" s="19" t="inlineStr">
        <is>
          <t>-</t>
        </is>
      </c>
      <c r="M20" s="19" t="inlineStr">
        <is>
          <t>-</t>
        </is>
      </c>
    </row>
    <row r="21">
      <c r="A21" s="5" t="inlineStr">
        <is>
          <t>Requerimiento Mano de Obra (hh/unid)</t>
        </is>
      </c>
      <c r="B21" s="6" t="n">
        <v>3</v>
      </c>
      <c r="C21" s="19" t="inlineStr">
        <is>
          <t>-</t>
        </is>
      </c>
      <c r="D21" s="19" t="inlineStr">
        <is>
          <t>-</t>
        </is>
      </c>
      <c r="E21" s="19" t="inlineStr">
        <is>
          <t>-</t>
        </is>
      </c>
      <c r="F21" s="19" t="inlineStr">
        <is>
          <t>-</t>
        </is>
      </c>
      <c r="G21" s="19" t="inlineStr">
        <is>
          <t>-</t>
        </is>
      </c>
      <c r="H21" s="19" t="inlineStr">
        <is>
          <t>-</t>
        </is>
      </c>
      <c r="I21" s="19" t="inlineStr">
        <is>
          <t>-</t>
        </is>
      </c>
      <c r="J21" s="19" t="inlineStr">
        <is>
          <t>-</t>
        </is>
      </c>
      <c r="K21" s="19" t="inlineStr">
        <is>
          <t>-</t>
        </is>
      </c>
      <c r="L21" s="19" t="inlineStr">
        <is>
          <t>-</t>
        </is>
      </c>
      <c r="M21" s="19" t="inlineStr">
        <is>
          <t>-</t>
        </is>
      </c>
    </row>
    <row r="22"/>
    <row r="23">
      <c r="A23" s="3" t="inlineStr">
        <is>
          <t>2. PLAN DE PRODUCCIÓN Y GESTIÓN DE RRHH (VARIABLES DE DECISIÓN)</t>
        </is>
      </c>
    </row>
    <row r="24">
      <c r="A24" s="8" t="inlineStr">
        <is>
          <t>Variable / Concepto</t>
        </is>
      </c>
      <c r="B24" s="8" t="inlineStr">
        <is>
          <t>Mes 1</t>
        </is>
      </c>
      <c r="C24" s="8" t="inlineStr">
        <is>
          <t>Mes 2</t>
        </is>
      </c>
      <c r="D24" s="8" t="inlineStr">
        <is>
          <t>Mes 3</t>
        </is>
      </c>
      <c r="E24" s="8" t="inlineStr">
        <is>
          <t>Mes 4</t>
        </is>
      </c>
      <c r="F24" s="8" t="inlineStr">
        <is>
          <t>Mes 5</t>
        </is>
      </c>
      <c r="G24" s="8" t="inlineStr">
        <is>
          <t>Mes 6</t>
        </is>
      </c>
      <c r="H24" s="8" t="inlineStr">
        <is>
          <t>Mes 7</t>
        </is>
      </c>
      <c r="I24" s="8" t="inlineStr">
        <is>
          <t>Mes 8</t>
        </is>
      </c>
      <c r="J24" s="8" t="inlineStr">
        <is>
          <t>Mes 9</t>
        </is>
      </c>
      <c r="K24" s="8" t="inlineStr">
        <is>
          <t>Mes 10</t>
        </is>
      </c>
      <c r="L24" s="8" t="inlineStr">
        <is>
          <t>Mes 11</t>
        </is>
      </c>
      <c r="M24" s="8" t="inlineStr">
        <is>
          <t>Mes 12</t>
        </is>
      </c>
      <c r="N24" s="8" t="inlineStr">
        <is>
          <t>Total Anual</t>
        </is>
      </c>
    </row>
    <row r="25">
      <c r="A25" s="9" t="inlineStr">
        <is>
          <t>Producción A (X_A,t)</t>
        </is>
      </c>
      <c r="B25" s="10" t="n">
        <v>47</v>
      </c>
      <c r="C25" s="10" t="n">
        <v>30</v>
      </c>
      <c r="D25" s="10" t="n">
        <v>33.16</v>
      </c>
      <c r="E25" s="10" t="n">
        <v>80.78</v>
      </c>
      <c r="F25" s="10" t="n">
        <v>48.22</v>
      </c>
      <c r="G25" s="10" t="n">
        <v>48</v>
      </c>
      <c r="H25" s="10" t="n">
        <v>57</v>
      </c>
      <c r="I25" s="10" t="n">
        <v>78</v>
      </c>
      <c r="J25" s="10" t="n">
        <v>42</v>
      </c>
      <c r="K25" s="10" t="n">
        <v>25</v>
      </c>
      <c r="L25" s="10" t="n">
        <v>64</v>
      </c>
      <c r="M25" s="10" t="n">
        <v>20.67</v>
      </c>
      <c r="N25" s="11">
        <f>SUM(B25:M25)</f>
        <v/>
      </c>
    </row>
    <row r="26">
      <c r="A26" s="9" t="inlineStr">
        <is>
          <t>Producción B (X_B,t)</t>
        </is>
      </c>
      <c r="B26" s="10" t="n">
        <v>53</v>
      </c>
      <c r="C26" s="10" t="n">
        <v>63.16</v>
      </c>
      <c r="D26" s="10" t="n">
        <v>60</v>
      </c>
      <c r="E26" s="10" t="n">
        <v>21.44</v>
      </c>
      <c r="F26" s="10" t="n">
        <v>54</v>
      </c>
      <c r="G26" s="10" t="n">
        <v>56.5</v>
      </c>
      <c r="H26" s="10" t="n">
        <v>47.5</v>
      </c>
      <c r="I26" s="10" t="n">
        <v>57</v>
      </c>
      <c r="J26" s="10" t="n">
        <v>5</v>
      </c>
      <c r="K26" s="10" t="n">
        <v>39</v>
      </c>
      <c r="L26" s="10" t="n">
        <v>0</v>
      </c>
      <c r="M26" s="10" t="n">
        <v>85</v>
      </c>
      <c r="N26" s="11">
        <f>SUM(B26:M26)</f>
        <v/>
      </c>
    </row>
    <row r="27">
      <c r="A27" s="9" t="inlineStr">
        <is>
          <t>Ventas A (V_A,t)</t>
        </is>
      </c>
      <c r="B27" s="10" t="n">
        <v>27</v>
      </c>
      <c r="C27" s="10" t="n">
        <v>60</v>
      </c>
      <c r="D27" s="10" t="n">
        <v>33.16</v>
      </c>
      <c r="E27" s="10" t="n">
        <v>66</v>
      </c>
      <c r="F27" s="10" t="n">
        <v>63</v>
      </c>
      <c r="G27" s="10" t="n">
        <v>48</v>
      </c>
      <c r="H27" s="10" t="n">
        <v>57</v>
      </c>
      <c r="I27" s="10" t="n">
        <v>68</v>
      </c>
      <c r="J27" s="10" t="n">
        <v>52</v>
      </c>
      <c r="K27" s="10" t="n">
        <v>0</v>
      </c>
      <c r="L27" s="10" t="n">
        <v>67</v>
      </c>
      <c r="M27" s="10" t="n">
        <v>42.67</v>
      </c>
      <c r="N27" s="11">
        <f>SUM(B27:M27)</f>
        <v/>
      </c>
    </row>
    <row r="28">
      <c r="A28" s="9" t="inlineStr">
        <is>
          <t>Ventas B (V_B,t)</t>
        </is>
      </c>
      <c r="B28" s="10" t="n">
        <v>63</v>
      </c>
      <c r="C28" s="10" t="n">
        <v>56.16</v>
      </c>
      <c r="D28" s="10" t="n">
        <v>57</v>
      </c>
      <c r="E28" s="10" t="n">
        <v>31.44</v>
      </c>
      <c r="F28" s="10" t="n">
        <v>44</v>
      </c>
      <c r="G28" s="10" t="n">
        <v>59</v>
      </c>
      <c r="H28" s="10" t="n">
        <v>48</v>
      </c>
      <c r="I28" s="10" t="n">
        <v>64</v>
      </c>
      <c r="J28" s="10" t="n">
        <v>0</v>
      </c>
      <c r="K28" s="10" t="n">
        <v>44</v>
      </c>
      <c r="L28" s="10" t="n">
        <v>0</v>
      </c>
      <c r="M28" s="10" t="n">
        <v>77</v>
      </c>
      <c r="N28" s="11">
        <f>SUM(B28:M28)</f>
        <v/>
      </c>
    </row>
    <row r="29">
      <c r="A29" s="9" t="inlineStr">
        <is>
          <t>Inventario Final A (I_A,t)</t>
        </is>
      </c>
      <c r="B29" s="10" t="n">
        <v>30</v>
      </c>
      <c r="C29" s="10" t="n">
        <v>0</v>
      </c>
      <c r="D29" s="10" t="n">
        <v>0</v>
      </c>
      <c r="E29" s="10" t="n">
        <v>14.78</v>
      </c>
      <c r="F29" s="10" t="n">
        <v>0</v>
      </c>
      <c r="G29" s="10" t="n">
        <v>0</v>
      </c>
      <c r="H29" s="10" t="n">
        <v>0</v>
      </c>
      <c r="I29" s="10" t="n">
        <v>10</v>
      </c>
      <c r="J29" s="10" t="n">
        <v>0</v>
      </c>
      <c r="K29" s="10" t="n">
        <v>25</v>
      </c>
      <c r="L29" s="10" t="n">
        <v>22</v>
      </c>
      <c r="M29" s="10" t="n">
        <v>0</v>
      </c>
      <c r="N29" s="12" t="inlineStr">
        <is>
          <t>-</t>
        </is>
      </c>
    </row>
    <row r="30">
      <c r="A30" s="9" t="inlineStr">
        <is>
          <t>Inventario Final B (I_B,t)</t>
        </is>
      </c>
      <c r="B30" s="10" t="n">
        <v>0</v>
      </c>
      <c r="C30" s="10" t="n">
        <v>7</v>
      </c>
      <c r="D30" s="10" t="n">
        <v>10</v>
      </c>
      <c r="E30" s="10" t="n">
        <v>0</v>
      </c>
      <c r="F30" s="10" t="n">
        <v>10</v>
      </c>
      <c r="G30" s="10" t="n">
        <v>7.5</v>
      </c>
      <c r="H30" s="10" t="n">
        <v>7</v>
      </c>
      <c r="I30" s="10" t="n">
        <v>0</v>
      </c>
      <c r="J30" s="10" t="n">
        <v>5</v>
      </c>
      <c r="K30" s="10" t="n">
        <v>-0</v>
      </c>
      <c r="L30" s="10" t="n">
        <v>0</v>
      </c>
      <c r="M30" s="10" t="n">
        <v>8</v>
      </c>
      <c r="N30" s="12" t="inlineStr">
        <is>
          <t>-</t>
        </is>
      </c>
    </row>
    <row r="31">
      <c r="A31" s="9" t="inlineStr">
        <is>
          <t>Inventario Total Bodega (I_A + I_B)</t>
        </is>
      </c>
      <c r="B31" s="13" t="n">
        <v>30</v>
      </c>
      <c r="C31" s="13" t="n">
        <v>7</v>
      </c>
      <c r="D31" s="13" t="n">
        <v>10</v>
      </c>
      <c r="E31" s="13" t="n">
        <v>14.78</v>
      </c>
      <c r="F31" s="13" t="n">
        <v>10</v>
      </c>
      <c r="G31" s="13" t="n">
        <v>7.5</v>
      </c>
      <c r="H31" s="13" t="n">
        <v>7</v>
      </c>
      <c r="I31" s="13" t="n">
        <v>10</v>
      </c>
      <c r="J31" s="13" t="n">
        <v>5</v>
      </c>
      <c r="K31" s="13" t="n">
        <v>25</v>
      </c>
      <c r="L31" s="13" t="n">
        <v>22</v>
      </c>
      <c r="M31" s="13" t="n">
        <v>8</v>
      </c>
      <c r="N31" s="12" t="inlineStr">
        <is>
          <t>-</t>
        </is>
      </c>
    </row>
    <row r="32">
      <c r="A32" s="9" t="inlineStr">
        <is>
          <t>Dotación Disponible (W_t)</t>
        </is>
      </c>
      <c r="B32" s="10" t="n">
        <v>300</v>
      </c>
      <c r="C32" s="10" t="n">
        <v>279.47</v>
      </c>
      <c r="D32" s="10" t="n">
        <v>279.47</v>
      </c>
      <c r="E32" s="10" t="n">
        <v>306.67</v>
      </c>
      <c r="F32" s="10" t="n">
        <v>306.67</v>
      </c>
      <c r="G32" s="10" t="n">
        <v>313.5</v>
      </c>
      <c r="H32" s="10" t="n">
        <v>313.5</v>
      </c>
      <c r="I32" s="10" t="n">
        <v>313.5</v>
      </c>
      <c r="J32" s="10" t="n">
        <v>141</v>
      </c>
      <c r="K32" s="10" t="n">
        <v>192</v>
      </c>
      <c r="L32" s="10" t="n">
        <v>192</v>
      </c>
      <c r="M32" s="10" t="n">
        <v>192</v>
      </c>
      <c r="N32" s="12" t="inlineStr">
        <is>
          <t>-</t>
        </is>
      </c>
    </row>
    <row r="33">
      <c r="A33" s="9" t="inlineStr">
        <is>
          <t>Horas Contratadas (H_t)</t>
        </is>
      </c>
      <c r="B33" s="10" t="n">
        <v>0</v>
      </c>
      <c r="C33" s="10" t="n">
        <v>0</v>
      </c>
      <c r="D33" s="10" t="n">
        <v>0</v>
      </c>
      <c r="E33" s="10" t="n">
        <v>27.19</v>
      </c>
      <c r="F33" s="10" t="n">
        <v>0</v>
      </c>
      <c r="G33" s="10" t="n">
        <v>6.83</v>
      </c>
      <c r="H33" s="10" t="n">
        <v>0</v>
      </c>
      <c r="I33" s="10" t="n">
        <v>0</v>
      </c>
      <c r="J33" s="10" t="n">
        <v>0</v>
      </c>
      <c r="K33" s="10" t="n">
        <v>51</v>
      </c>
      <c r="L33" s="10" t="n">
        <v>0</v>
      </c>
      <c r="M33" s="10" t="n">
        <v>0</v>
      </c>
      <c r="N33" s="11">
        <f>SUM(B33:M33)</f>
        <v/>
      </c>
    </row>
    <row r="34">
      <c r="A34" s="9" t="inlineStr">
        <is>
          <t>Horas Despedidas (F_t)</t>
        </is>
      </c>
      <c r="B34" s="10" t="n">
        <v>0</v>
      </c>
      <c r="C34" s="10" t="n">
        <v>20.53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172.5</v>
      </c>
      <c r="K34" s="10" t="n">
        <v>0</v>
      </c>
      <c r="L34" s="10" t="n">
        <v>0</v>
      </c>
      <c r="M34" s="10" t="n">
        <v>0</v>
      </c>
      <c r="N34" s="11">
        <f>SUM(B34:M34)</f>
        <v/>
      </c>
    </row>
    <row r="35">
      <c r="A35" s="9" t="inlineStr">
        <is>
          <t>Horas Extras Utilizadas (O_t)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91.5</v>
      </c>
      <c r="J35" s="10" t="n">
        <v>0</v>
      </c>
      <c r="K35" s="10" t="n">
        <v>0</v>
      </c>
      <c r="L35" s="10" t="n">
        <v>0</v>
      </c>
      <c r="M35" s="10" t="n">
        <v>125</v>
      </c>
      <c r="N35" s="11">
        <f>SUM(B35:M35)</f>
        <v/>
      </c>
    </row>
    <row r="36">
      <c r="A36" s="9" t="inlineStr">
        <is>
          <t>Requerimiento HH (3 * (X_A + X_B))</t>
        </is>
      </c>
      <c r="B36" s="13" t="n">
        <v>300</v>
      </c>
      <c r="C36" s="13" t="n">
        <v>279.47</v>
      </c>
      <c r="D36" s="13" t="n">
        <v>279.47</v>
      </c>
      <c r="E36" s="13" t="n">
        <v>306.67</v>
      </c>
      <c r="F36" s="13" t="n">
        <v>306.67</v>
      </c>
      <c r="G36" s="13" t="n">
        <v>313.5</v>
      </c>
      <c r="H36" s="13" t="n">
        <v>313.5</v>
      </c>
      <c r="I36" s="13" t="n">
        <v>405</v>
      </c>
      <c r="J36" s="13" t="n">
        <v>141</v>
      </c>
      <c r="K36" s="13" t="n">
        <v>192</v>
      </c>
      <c r="L36" s="13" t="n">
        <v>192</v>
      </c>
      <c r="M36" s="13" t="n">
        <v>317</v>
      </c>
      <c r="N36" s="11">
        <f>SUM(B36:M36)</f>
        <v/>
      </c>
    </row>
    <row r="37"/>
    <row r="38">
      <c r="A38" s="3" t="inlineStr">
        <is>
          <t>3. EVALUACIÓN FINANCIERA INTEGRADA (COSTOS Y BENEFICIO NETO)</t>
        </is>
      </c>
    </row>
    <row r="39">
      <c r="A39" s="4" t="inlineStr">
        <is>
          <t>Concepto Financiero</t>
        </is>
      </c>
      <c r="B39" s="4" t="inlineStr">
        <is>
          <t>Mes 1</t>
        </is>
      </c>
      <c r="C39" s="4" t="inlineStr">
        <is>
          <t>Mes 2</t>
        </is>
      </c>
      <c r="D39" s="4" t="inlineStr">
        <is>
          <t>Mes 3</t>
        </is>
      </c>
      <c r="E39" s="4" t="inlineStr">
        <is>
          <t>Mes 4</t>
        </is>
      </c>
      <c r="F39" s="4" t="inlineStr">
        <is>
          <t>Mes 5</t>
        </is>
      </c>
      <c r="G39" s="4" t="inlineStr">
        <is>
          <t>Mes 6</t>
        </is>
      </c>
      <c r="H39" s="4" t="inlineStr">
        <is>
          <t>Mes 7</t>
        </is>
      </c>
      <c r="I39" s="4" t="inlineStr">
        <is>
          <t>Mes 8</t>
        </is>
      </c>
      <c r="J39" s="4" t="inlineStr">
        <is>
          <t>Mes 9</t>
        </is>
      </c>
      <c r="K39" s="4" t="inlineStr">
        <is>
          <t>Mes 10</t>
        </is>
      </c>
      <c r="L39" s="4" t="inlineStr">
        <is>
          <t>Mes 11</t>
        </is>
      </c>
      <c r="M39" s="4" t="inlineStr">
        <is>
          <t>Mes 12</t>
        </is>
      </c>
      <c r="N39" s="4" t="inlineStr">
        <is>
          <t>Total Anual</t>
        </is>
      </c>
    </row>
    <row r="40">
      <c r="A40" s="9" t="inlineStr">
        <is>
          <t>Ingresos Venta Producto A ($)</t>
        </is>
      </c>
      <c r="B40" s="15" t="n">
        <v>216</v>
      </c>
      <c r="C40" s="15" t="n">
        <v>1320</v>
      </c>
      <c r="D40" s="15" t="n">
        <v>198.95</v>
      </c>
      <c r="E40" s="15" t="n">
        <v>2112</v>
      </c>
      <c r="F40" s="15" t="n">
        <v>1764</v>
      </c>
      <c r="G40" s="15" t="n">
        <v>672</v>
      </c>
      <c r="H40" s="15" t="n">
        <v>1140</v>
      </c>
      <c r="I40" s="15" t="n">
        <v>2448</v>
      </c>
      <c r="J40" s="15" t="n">
        <v>520</v>
      </c>
      <c r="K40" s="15" t="n">
        <v>0</v>
      </c>
      <c r="L40" s="15" t="n">
        <v>2680</v>
      </c>
      <c r="M40" s="15" t="n">
        <v>938.67</v>
      </c>
      <c r="N40" s="16">
        <f>SUM(B40:M40)</f>
        <v/>
      </c>
    </row>
    <row r="41">
      <c r="A41" s="9" t="inlineStr">
        <is>
          <t>Ingresos Venta Producto B ($)</t>
        </is>
      </c>
      <c r="B41" s="15" t="n">
        <v>1260</v>
      </c>
      <c r="C41" s="15" t="n">
        <v>898.53</v>
      </c>
      <c r="D41" s="15" t="n">
        <v>1140</v>
      </c>
      <c r="E41" s="15" t="n">
        <v>188.67</v>
      </c>
      <c r="F41" s="15" t="n">
        <v>880</v>
      </c>
      <c r="G41" s="15" t="n">
        <v>1711</v>
      </c>
      <c r="H41" s="15" t="n">
        <v>384</v>
      </c>
      <c r="I41" s="15" t="n">
        <v>1920</v>
      </c>
      <c r="J41" s="15" t="n">
        <v>0</v>
      </c>
      <c r="K41" s="15" t="n">
        <v>352</v>
      </c>
      <c r="L41" s="15" t="n">
        <v>0</v>
      </c>
      <c r="M41" s="15" t="n">
        <v>2156</v>
      </c>
      <c r="N41" s="16">
        <f>SUM(B41:M41)</f>
        <v/>
      </c>
    </row>
    <row r="42">
      <c r="A42" s="9" t="inlineStr">
        <is>
          <t>INGRESOS TOTALES ($)</t>
        </is>
      </c>
      <c r="B42" s="16" t="n">
        <v>1476</v>
      </c>
      <c r="C42" s="16" t="n">
        <v>2218.53</v>
      </c>
      <c r="D42" s="16" t="n">
        <v>1338.95</v>
      </c>
      <c r="E42" s="16" t="n">
        <v>2300.67</v>
      </c>
      <c r="F42" s="16" t="n">
        <v>2644</v>
      </c>
      <c r="G42" s="16" t="n">
        <v>2383</v>
      </c>
      <c r="H42" s="16" t="n">
        <v>1524</v>
      </c>
      <c r="I42" s="16" t="n">
        <v>4368</v>
      </c>
      <c r="J42" s="16" t="n">
        <v>520</v>
      </c>
      <c r="K42" s="16" t="n">
        <v>352</v>
      </c>
      <c r="L42" s="16" t="n">
        <v>2680</v>
      </c>
      <c r="M42" s="16" t="n">
        <v>3094.67</v>
      </c>
      <c r="N42" s="16">
        <f>SUM(B42:M42)</f>
        <v/>
      </c>
    </row>
    <row r="43">
      <c r="A43" s="9" t="inlineStr">
        <is>
          <t>Costo Almacenamiento Inventario ($)</t>
        </is>
      </c>
      <c r="B43" s="15" t="n">
        <v>90</v>
      </c>
      <c r="C43" s="15" t="n">
        <v>35</v>
      </c>
      <c r="D43" s="15" t="n">
        <v>20</v>
      </c>
      <c r="E43" s="15" t="n">
        <v>59.11</v>
      </c>
      <c r="F43" s="15" t="n">
        <v>20</v>
      </c>
      <c r="G43" s="15" t="n">
        <v>30</v>
      </c>
      <c r="H43" s="15" t="n">
        <v>14</v>
      </c>
      <c r="I43" s="15" t="n">
        <v>60</v>
      </c>
      <c r="J43" s="15" t="n">
        <v>10</v>
      </c>
      <c r="K43" s="15" t="n">
        <v>50</v>
      </c>
      <c r="L43" s="15" t="n">
        <v>88</v>
      </c>
      <c r="M43" s="15" t="n">
        <v>16</v>
      </c>
      <c r="N43" s="16">
        <f>SUM(B43:M43)</f>
        <v/>
      </c>
    </row>
    <row r="44">
      <c r="A44" s="9" t="inlineStr">
        <is>
          <t>Costo Mano de Obra Regular ($)</t>
        </is>
      </c>
      <c r="B44" s="15" t="n">
        <v>840</v>
      </c>
      <c r="C44" s="15" t="n">
        <v>167.68</v>
      </c>
      <c r="D44" s="15" t="n">
        <v>782.53</v>
      </c>
      <c r="E44" s="15" t="n">
        <v>306.67</v>
      </c>
      <c r="F44" s="15" t="n">
        <v>766.67</v>
      </c>
      <c r="G44" s="15" t="n">
        <v>250.8</v>
      </c>
      <c r="H44" s="15" t="n">
        <v>438.9</v>
      </c>
      <c r="I44" s="15" t="n">
        <v>470.25</v>
      </c>
      <c r="J44" s="15" t="n">
        <v>507.6</v>
      </c>
      <c r="K44" s="15" t="n">
        <v>614.4</v>
      </c>
      <c r="L44" s="15" t="n">
        <v>806.4</v>
      </c>
      <c r="M44" s="15" t="n">
        <v>499.2</v>
      </c>
      <c r="N44" s="16">
        <f>SUM(B44:M44)</f>
        <v/>
      </c>
    </row>
    <row r="45">
      <c r="A45" s="9" t="inlineStr">
        <is>
          <t>Costo Horas Extras ($)</t>
        </is>
      </c>
      <c r="B45" s="15" t="n">
        <v>0</v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201.3</v>
      </c>
      <c r="J45" s="15" t="n">
        <v>0</v>
      </c>
      <c r="K45" s="15" t="n">
        <v>0</v>
      </c>
      <c r="L45" s="15" t="n">
        <v>0</v>
      </c>
      <c r="M45" s="15" t="n">
        <v>462.5</v>
      </c>
      <c r="N45" s="16">
        <f>SUM(B45:M45)</f>
        <v/>
      </c>
    </row>
    <row r="46">
      <c r="A46" s="9" t="inlineStr">
        <is>
          <t>Costo Contratación ($)</t>
        </is>
      </c>
      <c r="B46" s="15" t="n">
        <v>0</v>
      </c>
      <c r="C46" s="15" t="n">
        <v>0</v>
      </c>
      <c r="D46" s="15" t="n">
        <v>0</v>
      </c>
      <c r="E46" s="15" t="n">
        <v>8.16</v>
      </c>
      <c r="F46" s="15" t="n">
        <v>0</v>
      </c>
      <c r="G46" s="15" t="n">
        <v>2.73</v>
      </c>
      <c r="H46" s="15" t="n">
        <v>0</v>
      </c>
      <c r="I46" s="15" t="n">
        <v>0</v>
      </c>
      <c r="J46" s="15" t="n">
        <v>0</v>
      </c>
      <c r="K46" s="15" t="n">
        <v>15.3</v>
      </c>
      <c r="L46" s="15" t="n">
        <v>0</v>
      </c>
      <c r="M46" s="15" t="n">
        <v>0</v>
      </c>
      <c r="N46" s="16">
        <f>SUM(B46:M46)</f>
        <v/>
      </c>
    </row>
    <row r="47">
      <c r="A47" s="9" t="inlineStr">
        <is>
          <t>Costo Despido ($)</t>
        </is>
      </c>
      <c r="B47" s="15" t="n">
        <v>0</v>
      </c>
      <c r="C47" s="15" t="n">
        <v>20.53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172.5</v>
      </c>
      <c r="K47" s="15" t="n">
        <v>0</v>
      </c>
      <c r="L47" s="15" t="n">
        <v>0</v>
      </c>
      <c r="M47" s="15" t="n">
        <v>0</v>
      </c>
      <c r="N47" s="16">
        <f>SUM(B47:M47)</f>
        <v/>
      </c>
    </row>
    <row r="48">
      <c r="A48" s="9" t="inlineStr">
        <is>
          <t>COSTOS TOTALES DE OPERACIÓN ($)</t>
        </is>
      </c>
      <c r="B48" s="20" t="n">
        <v>930</v>
      </c>
      <c r="C48" s="20" t="n">
        <v>223.21</v>
      </c>
      <c r="D48" s="20" t="n">
        <v>802.53</v>
      </c>
      <c r="E48" s="20" t="n">
        <v>373.94</v>
      </c>
      <c r="F48" s="20" t="n">
        <v>786.67</v>
      </c>
      <c r="G48" s="20" t="n">
        <v>283.53</v>
      </c>
      <c r="H48" s="20" t="n">
        <v>452.9</v>
      </c>
      <c r="I48" s="20" t="n">
        <v>731.55</v>
      </c>
      <c r="J48" s="20" t="n">
        <v>690.1</v>
      </c>
      <c r="K48" s="20" t="n">
        <v>679.7</v>
      </c>
      <c r="L48" s="20" t="n">
        <v>894.4</v>
      </c>
      <c r="M48" s="20" t="n">
        <v>977.7</v>
      </c>
      <c r="N48" s="20">
        <f>SUM(B48:M48)</f>
        <v/>
      </c>
    </row>
    <row r="49">
      <c r="A49" s="9" t="inlineStr">
        <is>
          <t>UTILIDAD NETA TOTAL ($)</t>
        </is>
      </c>
      <c r="B49" s="17" t="n">
        <v>546</v>
      </c>
      <c r="C49" s="17" t="n">
        <v>1995.32</v>
      </c>
      <c r="D49" s="17" t="n">
        <v>536.42</v>
      </c>
      <c r="E49" s="17" t="n">
        <v>1926.73</v>
      </c>
      <c r="F49" s="17" t="n">
        <v>1857.33</v>
      </c>
      <c r="G49" s="17" t="n">
        <v>2099.47</v>
      </c>
      <c r="H49" s="17" t="n">
        <v>1071.1</v>
      </c>
      <c r="I49" s="17" t="n">
        <v>3636.45</v>
      </c>
      <c r="J49" s="17" t="n">
        <v>-170.1</v>
      </c>
      <c r="K49" s="17" t="n">
        <v>-327.7</v>
      </c>
      <c r="L49" s="17" t="n">
        <v>1785.6</v>
      </c>
      <c r="M49" s="17" t="n">
        <v>2116.97</v>
      </c>
      <c r="N49" s="17">
        <f>SUM(B49:M49)</f>
        <v/>
      </c>
    </row>
    <row r="50"/>
    <row r="51"/>
    <row r="52">
      <c r="A52" s="3" t="inlineStr">
        <is>
          <t>PARÁMETROS PARA SOLVER DE EXCEL (PARTE 2):</t>
        </is>
      </c>
    </row>
    <row r="53">
      <c r="A53" s="18" t="inlineStr">
        <is>
          <t>• Objetivo a Establecer: N49 (Utilidad Neta Total Anual) -&gt; Maximizar</t>
        </is>
      </c>
    </row>
    <row r="54">
      <c r="A54" s="18" t="inlineStr">
        <is>
          <t>• Cambiando las celdas de variables: B25:M30 (X_A, X_B, V_A, V_B, I_A, I_B) y B32:M35 (W, H, F, O)</t>
        </is>
      </c>
    </row>
    <row r="55">
      <c r="A55" s="18" t="inlineStr">
        <is>
          <t>• Sujeto a las restricciones:</t>
        </is>
      </c>
    </row>
    <row r="56">
      <c r="A56" s="18" t="inlineStr">
        <is>
          <t xml:space="preserve">   - Balance de Inventario: I_p,t = I_p,t-1 + X_p,t - V_p,t (con I_p,0 = 10)</t>
        </is>
      </c>
    </row>
    <row r="57">
      <c r="A57" s="18" t="inlineStr">
        <is>
          <t xml:space="preserve">   - Balance de Dotación: W_t = W_t-1 + H_t - F_t (con W_0 = 300 hh)</t>
        </is>
      </c>
    </row>
    <row r="58">
      <c r="A58" s="18" t="inlineStr">
        <is>
          <t xml:space="preserve">   - Requerimiento de Mano de Obra: 3 * (X_A,t + X_B,t) &lt;= W_t + O_t</t>
        </is>
      </c>
    </row>
    <row r="59">
      <c r="A59" s="18" t="inlineStr">
        <is>
          <t xml:space="preserve">   - Cota de Demanda: V_A,t &lt;= Demanda_A,t ; V_B,t &lt;= Demanda_B,t</t>
        </is>
      </c>
    </row>
    <row r="60">
      <c r="A60" s="18" t="inlineStr">
        <is>
          <t xml:space="preserve">   - Capacidad Maquinaria: Horas_Uso,t &lt;= Capacidad,t</t>
        </is>
      </c>
    </row>
    <row r="61">
      <c r="A61" s="18" t="inlineStr">
        <is>
          <t xml:space="preserve">   - Capacidad Bodega: I_Total,t &lt;= Inv_Max,t ; I_Total,t &gt;= Inv_Seg,t</t>
        </is>
      </c>
    </row>
    <row r="62">
      <c r="A62" s="18" t="inlineStr">
        <is>
          <t xml:space="preserve">   - No Negatividad: Todas las variables &gt;= 0</t>
        </is>
      </c>
    </row>
    <row r="63">
      <c r="A63" s="18" t="inlineStr">
        <is>
          <t>• Método de Resolución: Simplex 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8" customWidth="1" min="3" max="3"/>
    <col width="28" customWidth="1" min="4" max="4"/>
    <col width="27" customWidth="1" min="5" max="5"/>
  </cols>
  <sheetData>
    <row r="1">
      <c r="A1" s="1" t="inlineStr">
        <is>
          <t>TAREA COMPUTACIONAL 1 - OPTIMIZACIÓN</t>
        </is>
      </c>
    </row>
    <row r="2">
      <c r="A2" s="2" t="inlineStr">
        <is>
          <t>Comparación Integral de Escenarios y Análisis de Sensibilidad</t>
        </is>
      </c>
    </row>
    <row r="3"/>
    <row r="4">
      <c r="A4" s="3" t="inlineStr">
        <is>
          <t>CUADRO COMPARATIVO DE ESCENARIOS</t>
        </is>
      </c>
    </row>
    <row r="5" ht="22" customHeight="1">
      <c r="A5" s="4" t="inlineStr">
        <is>
          <t>Indicador / Métrica Financiera</t>
        </is>
      </c>
      <c r="B5" s="4" t="inlineStr">
        <is>
          <t>Escenario 1 (Base)</t>
        </is>
      </c>
      <c r="C5" s="4" t="inlineStr">
        <is>
          <t>Escenario 2A (Mixto RRHH)</t>
        </is>
      </c>
      <c r="D5" s="4" t="inlineStr">
        <is>
          <t>Escenario 2B (Nivelación)</t>
        </is>
      </c>
      <c r="E5" s="4" t="inlineStr">
        <is>
          <t>Escenario 2C (Caza Pura)</t>
        </is>
      </c>
    </row>
    <row r="6">
      <c r="A6" s="9" t="inlineStr">
        <is>
          <t>Ingresos Totales por Ventas ($)</t>
        </is>
      </c>
      <c r="B6" s="15" t="n">
        <v>26458.28</v>
      </c>
      <c r="C6" s="15" t="n">
        <v>24899.81</v>
      </c>
      <c r="D6" s="15" t="n">
        <v>25549.21</v>
      </c>
      <c r="E6" s="15" t="n">
        <v>24899.81</v>
      </c>
    </row>
    <row r="7">
      <c r="A7" s="9" t="inlineStr">
        <is>
          <t>Costo Almacenamiento Inventario ($)</t>
        </is>
      </c>
      <c r="B7" s="15" t="n">
        <v>507.29</v>
      </c>
      <c r="C7" s="15" t="n">
        <v>492.11</v>
      </c>
      <c r="D7" s="15" t="n">
        <v>472.88</v>
      </c>
      <c r="E7" s="15" t="n">
        <v>548.11</v>
      </c>
    </row>
    <row r="8">
      <c r="A8" s="9" t="inlineStr">
        <is>
          <t>Costo Mano de Obra Regular ($)</t>
        </is>
      </c>
      <c r="B8" s="15" t="n">
        <v>0</v>
      </c>
      <c r="C8" s="15" t="n">
        <v>6451.09</v>
      </c>
      <c r="D8" s="15" t="n">
        <v>8100</v>
      </c>
      <c r="E8" s="15" t="n">
        <v>6896.54</v>
      </c>
    </row>
    <row r="9">
      <c r="A9" s="9" t="inlineStr">
        <is>
          <t>Costo Horas Extras ($)</t>
        </is>
      </c>
      <c r="B9" s="15" t="n">
        <v>0</v>
      </c>
      <c r="C9" s="15" t="n">
        <v>663.8</v>
      </c>
      <c r="D9" s="15" t="n">
        <v>368.33</v>
      </c>
      <c r="E9" s="15" t="n">
        <v>0</v>
      </c>
    </row>
    <row r="10">
      <c r="A10" s="9" t="inlineStr">
        <is>
          <t>Costo Contratación ($)</t>
        </is>
      </c>
      <c r="B10" s="15" t="n">
        <v>0</v>
      </c>
      <c r="C10" s="15" t="n">
        <v>26.19</v>
      </c>
      <c r="D10" s="15" t="n">
        <v>0</v>
      </c>
      <c r="E10" s="15" t="n">
        <v>177.79</v>
      </c>
    </row>
    <row r="11">
      <c r="A11" s="9" t="inlineStr">
        <is>
          <t>Costo Despido ($)</t>
        </is>
      </c>
      <c r="B11" s="15" t="n">
        <v>0</v>
      </c>
      <c r="C11" s="15" t="n">
        <v>193.03</v>
      </c>
      <c r="D11" s="15" t="n">
        <v>0</v>
      </c>
      <c r="E11" s="15" t="n">
        <v>242.53</v>
      </c>
    </row>
    <row r="12">
      <c r="A12" s="9" t="inlineStr">
        <is>
          <t>COSTO TOTAL DE OPERACIÓN ($)</t>
        </is>
      </c>
      <c r="B12" s="20" t="n">
        <v>507.29</v>
      </c>
      <c r="C12" s="20" t="n">
        <v>7826.22</v>
      </c>
      <c r="D12" s="20" t="n">
        <v>8941.219999999999</v>
      </c>
      <c r="E12" s="20" t="n">
        <v>7864.97</v>
      </c>
    </row>
    <row r="13">
      <c r="A13" s="9" t="inlineStr">
        <is>
          <t>BENEFICIO NETO ANUAL ($)</t>
        </is>
      </c>
      <c r="B13" s="17" t="n">
        <v>25950.99</v>
      </c>
      <c r="C13" s="17" t="n">
        <v>17073.58</v>
      </c>
      <c r="D13" s="17" t="n">
        <v>16607.99</v>
      </c>
      <c r="E13" s="17" t="n">
        <v>17034.83</v>
      </c>
    </row>
    <row r="14">
      <c r="A14" s="9" t="inlineStr">
        <is>
          <t>Diferencia vs Escenario Base ($)</t>
        </is>
      </c>
      <c r="B14" s="15" t="n">
        <v>0</v>
      </c>
      <c r="C14" s="15" t="n">
        <v>-8877.4</v>
      </c>
      <c r="D14" s="15" t="n">
        <v>-9342.99</v>
      </c>
      <c r="E14" s="15" t="n">
        <v>-8916.15</v>
      </c>
    </row>
    <row r="15">
      <c r="A15" s="9" t="inlineStr">
        <is>
          <t>Variación Porcentual de Utilidad (%)</t>
        </is>
      </c>
      <c r="B15" s="21" t="n">
        <v>0</v>
      </c>
      <c r="C15" s="21" t="n">
        <v>-0.3421</v>
      </c>
      <c r="D15" s="21" t="n">
        <v>-0.36</v>
      </c>
      <c r="E15" s="21" t="n">
        <v>-0.3436</v>
      </c>
    </row>
    <row r="16">
      <c r="A16" s="9" t="inlineStr">
        <is>
          <t>Total Unidades Producidas A</t>
        </is>
      </c>
      <c r="B16" s="7" t="n">
        <v>704.1900000000001</v>
      </c>
      <c r="C16" s="7" t="n">
        <v>573.8200000000001</v>
      </c>
      <c r="D16" s="7" t="n">
        <v>618.95</v>
      </c>
      <c r="E16" s="7" t="n">
        <v>573.8200000000001</v>
      </c>
    </row>
    <row r="17">
      <c r="A17" s="9" t="inlineStr">
        <is>
          <t>Total Unidades Producidas B</t>
        </is>
      </c>
      <c r="B17" s="7" t="n">
        <v>651.11</v>
      </c>
      <c r="C17" s="7" t="n">
        <v>541.6</v>
      </c>
      <c r="D17" s="7" t="n">
        <v>598.38</v>
      </c>
      <c r="E17" s="7" t="n">
        <v>541.6</v>
      </c>
    </row>
    <row r="18">
      <c r="A18" s="9" t="inlineStr">
        <is>
          <t>Total Unidades Vendidas A</t>
        </is>
      </c>
      <c r="B18" s="7" t="n">
        <v>714.1900000000001</v>
      </c>
      <c r="C18" s="7" t="n">
        <v>583.8200000000001</v>
      </c>
      <c r="D18" s="7" t="n">
        <v>628.95</v>
      </c>
      <c r="E18" s="7" t="n">
        <v>583.8200000000001</v>
      </c>
    </row>
    <row r="19">
      <c r="A19" s="9" t="inlineStr">
        <is>
          <t>Total Unidades Vendidas B</t>
        </is>
      </c>
      <c r="B19" s="7" t="n">
        <v>653.11</v>
      </c>
      <c r="C19" s="7" t="n">
        <v>543.6</v>
      </c>
      <c r="D19" s="7" t="n">
        <v>600.38</v>
      </c>
      <c r="E19" s="7" t="n">
        <v>543.6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2026-09-22T04:45:35Z</dcterms:created>
  <dcterms:modified xmlns:dcterms="http://purl.org/dc/terms/" xmlns:xsi="http://www.w3.org/2001/XMLSchema-instance" xsi:type="dcterms:W3CDTF">2026-09-22T04:45:35Z</dcterms:modified>
</cp:coreProperties>
</file>